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drawings/drawing8.xml" ContentType="application/vnd.openxmlformats-officedocument.drawing+xml"/>
  <Override PartName="/xl/charts/chart10.xml" ContentType="application/vnd.openxmlformats-officedocument.drawingml.chart+xml"/>
  <Override PartName="/xl/drawings/drawing9.xml" ContentType="application/vnd.openxmlformats-officedocument.drawing+xml"/>
  <Override PartName="/xl/charts/chart11.xml" ContentType="application/vnd.openxmlformats-officedocument.drawingml.chart+xml"/>
  <Override PartName="/xl/drawings/drawing10.xml" ContentType="application/vnd.openxmlformats-officedocument.drawing+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hidePivotFieldList="1"/>
  <mc:AlternateContent xmlns:mc="http://schemas.openxmlformats.org/markup-compatibility/2006">
    <mc:Choice Requires="x15">
      <x15ac:absPath xmlns:x15ac="http://schemas.microsoft.com/office/spreadsheetml/2010/11/ac" url="C:\Users\dgaglani\Desktop\timepassProject\"/>
    </mc:Choice>
  </mc:AlternateContent>
  <xr:revisionPtr revIDLastSave="0" documentId="8_{B85822E6-6F91-4380-83D7-6FDE65953C29}" xr6:coauthVersionLast="36" xr6:coauthVersionMax="36" xr10:uidLastSave="{00000000-0000-0000-0000-000000000000}"/>
  <bookViews>
    <workbookView xWindow="0" yWindow="0" windowWidth="21600" windowHeight="8808" xr2:uid="{00000000-000D-0000-FFFF-FFFF00000000}"/>
  </bookViews>
  <sheets>
    <sheet name="Control Panel" sheetId="7" r:id="rId1"/>
    <sheet name="Profile" sheetId="1" r:id="rId2"/>
    <sheet name="Key Items" sheetId="3" r:id="rId3"/>
    <sheet name="Key Estimates" sheetId="8" r:id="rId4"/>
    <sheet name="Income Metrics" sheetId="10" r:id="rId5"/>
    <sheet name="ROIC Metrics" sheetId="16" r:id="rId6"/>
    <sheet name="NWC Metrics" sheetId="18" r:id="rId7"/>
    <sheet name="Debt Metrics" sheetId="13" r:id="rId8"/>
    <sheet name="DCF" sheetId="9" r:id="rId9"/>
    <sheet name="Comps Overview" sheetId="12" r:id="rId10"/>
    <sheet name="Income Comps" sheetId="11" r:id="rId11"/>
    <sheet name="ROIC Comps" sheetId="17" r:id="rId12"/>
    <sheet name="NWC Comps" sheetId="19" r:id="rId13"/>
    <sheet name="Debt Comps" sheetId="14" r:id="rId14"/>
  </sheets>
  <externalReferences>
    <externalReference r:id="rId15"/>
  </externalReferences>
  <definedNames>
    <definedName name="comp1">'Control Panel'!$C$12</definedName>
    <definedName name="comp2">'Control Panel'!$C$13</definedName>
    <definedName name="comp3">'Control Panel'!$C$14</definedName>
    <definedName name="comp4">'Control Panel'!$C$15</definedName>
    <definedName name="comp5">'Control Panel'!$C$16</definedName>
    <definedName name="last_price">Profile!$M$21</definedName>
    <definedName name="name">'Control Panel'!$C$8</definedName>
    <definedName name="_xlnm.Print_Area" localSheetId="9">'Comps Overview'!$A$1:$J$18</definedName>
    <definedName name="_xlnm.Print_Area" localSheetId="0">'Control Panel'!$A$1:$G$17</definedName>
    <definedName name="_xlnm.Print_Area" localSheetId="8">DCF!$A$1:$J$41</definedName>
    <definedName name="_xlnm.Print_Area" localSheetId="13">'Debt Comps'!$A$1:$K$27</definedName>
    <definedName name="_xlnm.Print_Area" localSheetId="7">'Debt Metrics'!$A$1:$L$27</definedName>
    <definedName name="_xlnm.Print_Area" localSheetId="10">'Income Comps'!$A$1:$K$24</definedName>
    <definedName name="_xlnm.Print_Area" localSheetId="4">'Income Metrics'!$A$1:$L$28</definedName>
    <definedName name="_xlnm.Print_Area" localSheetId="3">'Key Estimates'!$A$1:$M$20</definedName>
    <definedName name="_xlnm.Print_Area" localSheetId="2">'Key Items'!$A$1:$K$26</definedName>
    <definedName name="_xlnm.Print_Area" localSheetId="12">'NWC Comps'!$A$1:$K$27</definedName>
    <definedName name="_xlnm.Print_Area" localSheetId="6">'NWC Metrics'!$A$1:$L$29</definedName>
    <definedName name="_xlnm.Print_Area" localSheetId="1">Profile!$A$1:$N$37</definedName>
    <definedName name="_xlnm.Print_Area" localSheetId="11">'ROIC Comps'!$A$1:$K$26</definedName>
    <definedName name="_xlnm.Print_Area" localSheetId="5">'ROIC Metrics'!$A$1:$L$29</definedName>
    <definedName name="report_date">'Control Panel'!$C$10</definedName>
    <definedName name="rounding">"M"</definedName>
    <definedName name="ticker">'Control Panel'!$C$5</definedName>
  </definedNames>
  <calcPr calcId="191029" calcMode="manual"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32" i="14" l="1"/>
  <c r="H3" i="14"/>
  <c r="H17" i="14"/>
  <c r="G32" i="14"/>
  <c r="G3" i="14"/>
  <c r="G17" i="14"/>
  <c r="F32" i="14"/>
  <c r="F3" i="14"/>
  <c r="F17" i="14"/>
  <c r="E32" i="14"/>
  <c r="E3" i="14"/>
  <c r="E17" i="14"/>
  <c r="D32" i="14"/>
  <c r="D3" i="14"/>
  <c r="D17" i="14"/>
  <c r="C3" i="14"/>
  <c r="C17" i="14"/>
  <c r="H16" i="14"/>
  <c r="G16" i="14"/>
  <c r="F16" i="14"/>
  <c r="E16" i="14"/>
  <c r="D16" i="14"/>
  <c r="C16" i="14"/>
  <c r="H14" i="14"/>
  <c r="G14" i="14"/>
  <c r="F14" i="14"/>
  <c r="E14" i="14"/>
  <c r="D14" i="14"/>
  <c r="C14" i="14"/>
  <c r="H13" i="14"/>
  <c r="G13" i="14"/>
  <c r="F13" i="14"/>
  <c r="E13" i="14"/>
  <c r="D13" i="14"/>
  <c r="C13" i="14"/>
  <c r="H11" i="14"/>
  <c r="G11" i="14"/>
  <c r="F11" i="14"/>
  <c r="E11" i="14"/>
  <c r="D11" i="14"/>
  <c r="C11" i="14"/>
  <c r="H9" i="14"/>
  <c r="G9" i="14"/>
  <c r="F9" i="14"/>
  <c r="E9" i="14"/>
  <c r="D9" i="14"/>
  <c r="C9" i="14"/>
  <c r="H8" i="14"/>
  <c r="G8" i="14"/>
  <c r="F8" i="14"/>
  <c r="E8" i="14"/>
  <c r="D8" i="14"/>
  <c r="C8" i="14"/>
  <c r="H7" i="14"/>
  <c r="G7" i="14"/>
  <c r="F7" i="14"/>
  <c r="E7" i="14"/>
  <c r="D7" i="14"/>
  <c r="C7" i="14"/>
  <c r="H6" i="14"/>
  <c r="G6" i="14"/>
  <c r="F6" i="14"/>
  <c r="E6" i="14"/>
  <c r="D6" i="14"/>
  <c r="C6" i="14"/>
  <c r="H5" i="14"/>
  <c r="G5" i="14"/>
  <c r="F5" i="14"/>
  <c r="E5" i="14"/>
  <c r="D5" i="14"/>
  <c r="C5" i="14"/>
  <c r="H30" i="19"/>
  <c r="H3" i="19"/>
  <c r="H15" i="19"/>
  <c r="G30" i="19"/>
  <c r="G3" i="19"/>
  <c r="G15" i="19"/>
  <c r="F30" i="19"/>
  <c r="F3" i="19"/>
  <c r="F15" i="19"/>
  <c r="E30" i="19"/>
  <c r="E3" i="19"/>
  <c r="E15" i="19"/>
  <c r="D30" i="19"/>
  <c r="D3" i="19"/>
  <c r="D15" i="19"/>
  <c r="C3" i="19"/>
  <c r="C15" i="19"/>
  <c r="H14" i="19"/>
  <c r="G14" i="19"/>
  <c r="F14" i="19"/>
  <c r="E14" i="19"/>
  <c r="D14" i="19"/>
  <c r="C14" i="19"/>
  <c r="H13" i="19"/>
  <c r="G13" i="19"/>
  <c r="F13" i="19"/>
  <c r="E13" i="19"/>
  <c r="D13" i="19"/>
  <c r="C13" i="19"/>
  <c r="H12" i="19"/>
  <c r="G12" i="19"/>
  <c r="F12" i="19"/>
  <c r="E12" i="19"/>
  <c r="D12" i="19"/>
  <c r="C12" i="19"/>
  <c r="H11" i="19"/>
  <c r="G11" i="19"/>
  <c r="F11" i="19"/>
  <c r="E11" i="19"/>
  <c r="D11" i="19"/>
  <c r="C11" i="19"/>
  <c r="H8" i="19"/>
  <c r="G8" i="19"/>
  <c r="F8" i="19"/>
  <c r="E8" i="19"/>
  <c r="D8" i="19"/>
  <c r="C8" i="19"/>
  <c r="H7" i="19"/>
  <c r="G7" i="19"/>
  <c r="F7" i="19"/>
  <c r="E7" i="19"/>
  <c r="D7" i="19"/>
  <c r="C7" i="19"/>
  <c r="H6" i="19"/>
  <c r="G6" i="19"/>
  <c r="F6" i="19"/>
  <c r="E6" i="19"/>
  <c r="D6" i="19"/>
  <c r="C6" i="19"/>
  <c r="H5" i="19"/>
  <c r="G5" i="19"/>
  <c r="F5" i="19"/>
  <c r="E5" i="19"/>
  <c r="D5" i="19"/>
  <c r="C5" i="19"/>
  <c r="H29" i="17"/>
  <c r="H3" i="17"/>
  <c r="H14" i="17"/>
  <c r="G29" i="17"/>
  <c r="G3" i="17"/>
  <c r="G14" i="17"/>
  <c r="F29" i="17"/>
  <c r="F3" i="17"/>
  <c r="F14" i="17"/>
  <c r="E29" i="17"/>
  <c r="E3" i="17"/>
  <c r="E14" i="17"/>
  <c r="D29" i="17"/>
  <c r="D3" i="17"/>
  <c r="D14" i="17"/>
  <c r="C3" i="17"/>
  <c r="C14" i="17"/>
  <c r="H13" i="17"/>
  <c r="G13" i="17"/>
  <c r="F13" i="17"/>
  <c r="E13" i="17"/>
  <c r="D13" i="17"/>
  <c r="C13" i="17"/>
  <c r="H12" i="17"/>
  <c r="G12" i="17"/>
  <c r="F12" i="17"/>
  <c r="E12" i="17"/>
  <c r="D12" i="17"/>
  <c r="C12" i="17"/>
  <c r="H11" i="17"/>
  <c r="G11" i="17"/>
  <c r="F11" i="17"/>
  <c r="E11" i="17"/>
  <c r="D11" i="17"/>
  <c r="C11" i="17"/>
  <c r="H10" i="17"/>
  <c r="G10" i="17"/>
  <c r="F10" i="17"/>
  <c r="E10" i="17"/>
  <c r="D10" i="17"/>
  <c r="C10" i="17"/>
  <c r="H7" i="17"/>
  <c r="G7" i="17"/>
  <c r="F7" i="17"/>
  <c r="E7" i="17"/>
  <c r="D7" i="17"/>
  <c r="C7" i="17"/>
  <c r="H6" i="17"/>
  <c r="G6" i="17"/>
  <c r="F6" i="17"/>
  <c r="E6" i="17"/>
  <c r="D6" i="17"/>
  <c r="C6" i="17"/>
  <c r="H5" i="17"/>
  <c r="G5" i="17"/>
  <c r="F5" i="17"/>
  <c r="E5" i="17"/>
  <c r="D5" i="17"/>
  <c r="C5" i="17"/>
  <c r="H28" i="11"/>
  <c r="H12" i="11"/>
  <c r="H24" i="11"/>
  <c r="G28" i="11"/>
  <c r="G12" i="11"/>
  <c r="G24" i="11"/>
  <c r="F28" i="11"/>
  <c r="F12" i="11"/>
  <c r="F24" i="11"/>
  <c r="E28" i="11"/>
  <c r="E12" i="11"/>
  <c r="E24" i="11"/>
  <c r="D28" i="11"/>
  <c r="D12" i="11"/>
  <c r="D24" i="11"/>
  <c r="C12" i="11"/>
  <c r="C24" i="11"/>
  <c r="H23" i="11"/>
  <c r="G23" i="11"/>
  <c r="F23" i="11"/>
  <c r="E23" i="11"/>
  <c r="D23" i="11"/>
  <c r="C23" i="11"/>
  <c r="H22" i="11"/>
  <c r="G22" i="11"/>
  <c r="F22" i="11"/>
  <c r="E22" i="11"/>
  <c r="D22" i="11"/>
  <c r="C22" i="11"/>
  <c r="H21" i="11"/>
  <c r="G21" i="11"/>
  <c r="F21" i="11"/>
  <c r="E21" i="11"/>
  <c r="D21" i="11"/>
  <c r="C21" i="11"/>
  <c r="H20" i="11"/>
  <c r="G20" i="11"/>
  <c r="F20" i="11"/>
  <c r="E20" i="11"/>
  <c r="D20" i="11"/>
  <c r="C20" i="11"/>
  <c r="H19" i="11"/>
  <c r="G19" i="11"/>
  <c r="F19" i="11"/>
  <c r="E19" i="11"/>
  <c r="D19" i="11"/>
  <c r="C19" i="11"/>
  <c r="H18" i="11"/>
  <c r="G18" i="11"/>
  <c r="F18" i="11"/>
  <c r="E18" i="11"/>
  <c r="D18" i="11"/>
  <c r="C18" i="11"/>
  <c r="H17" i="11"/>
  <c r="G17" i="11"/>
  <c r="F17" i="11"/>
  <c r="E17" i="11"/>
  <c r="D17" i="11"/>
  <c r="C17" i="11"/>
  <c r="H16" i="11"/>
  <c r="G16" i="11"/>
  <c r="F16" i="11"/>
  <c r="E16" i="11"/>
  <c r="D16" i="11"/>
  <c r="C16" i="11"/>
  <c r="H15" i="11"/>
  <c r="G15" i="11"/>
  <c r="F15" i="11"/>
  <c r="E15" i="11"/>
  <c r="D15" i="11"/>
  <c r="C15" i="11"/>
  <c r="H14" i="11"/>
  <c r="G14" i="11"/>
  <c r="F14" i="11"/>
  <c r="E14" i="11"/>
  <c r="D14" i="11"/>
  <c r="C14" i="11"/>
  <c r="H13" i="11"/>
  <c r="G13" i="11"/>
  <c r="F13" i="11"/>
  <c r="E13" i="11"/>
  <c r="D13" i="11"/>
  <c r="C13" i="11"/>
  <c r="C16" i="12"/>
  <c r="B17" i="12"/>
  <c r="I16" i="12"/>
  <c r="H16" i="12"/>
  <c r="G16" i="12"/>
  <c r="F16" i="12"/>
  <c r="E16" i="12"/>
  <c r="D16" i="12"/>
  <c r="B16" i="12"/>
  <c r="C14" i="12"/>
  <c r="B15" i="12"/>
  <c r="I14" i="12"/>
  <c r="H14" i="12"/>
  <c r="G14" i="12"/>
  <c r="F14" i="12"/>
  <c r="E14" i="12"/>
  <c r="D14" i="12"/>
  <c r="B14" i="12"/>
  <c r="C12" i="12"/>
  <c r="B13" i="12"/>
  <c r="I12" i="12"/>
  <c r="H12" i="12"/>
  <c r="G12" i="12"/>
  <c r="F12" i="12"/>
  <c r="E12" i="12"/>
  <c r="D12" i="12"/>
  <c r="B12" i="12"/>
  <c r="C10" i="12"/>
  <c r="B11" i="12"/>
  <c r="I10" i="12"/>
  <c r="H10" i="12"/>
  <c r="G10" i="12"/>
  <c r="F10" i="12"/>
  <c r="E10" i="12"/>
  <c r="D10" i="12"/>
  <c r="B10" i="12"/>
  <c r="C8" i="12"/>
  <c r="B9" i="12"/>
  <c r="I8" i="12"/>
  <c r="H8" i="12"/>
  <c r="G8" i="12"/>
  <c r="F8" i="12"/>
  <c r="E8" i="12"/>
  <c r="D8" i="12"/>
  <c r="B8" i="12"/>
  <c r="C6" i="12"/>
  <c r="B7" i="12"/>
  <c r="I6" i="12"/>
  <c r="H6" i="12"/>
  <c r="G6" i="12"/>
  <c r="F6" i="12"/>
  <c r="E6" i="12"/>
  <c r="D6" i="12"/>
  <c r="B6" i="12"/>
  <c r="D40" i="9"/>
  <c r="G39" i="9"/>
  <c r="J38" i="9"/>
  <c r="J37" i="9"/>
  <c r="G36" i="9"/>
  <c r="G37" i="9"/>
  <c r="D37" i="9"/>
  <c r="J36" i="9"/>
  <c r="D34" i="9"/>
  <c r="D33" i="9"/>
  <c r="H31" i="9"/>
  <c r="H30" i="9"/>
  <c r="C12" i="9"/>
  <c r="C15" i="9"/>
  <c r="H13" i="9"/>
  <c r="H10" i="9"/>
  <c r="C9" i="9"/>
  <c r="H7" i="9"/>
  <c r="E7" i="9"/>
  <c r="C6" i="9"/>
  <c r="D7" i="9"/>
  <c r="C7" i="9"/>
  <c r="H4" i="9"/>
  <c r="G4" i="9"/>
  <c r="F4" i="9"/>
  <c r="E4" i="9"/>
  <c r="D4" i="9"/>
  <c r="C4" i="9"/>
  <c r="C3" i="9"/>
  <c r="G30" i="13"/>
  <c r="G29" i="13"/>
  <c r="K18" i="13"/>
  <c r="J29" i="13"/>
  <c r="J30" i="13"/>
  <c r="J18" i="13"/>
  <c r="I29" i="13"/>
  <c r="I30" i="13"/>
  <c r="I18" i="13"/>
  <c r="H29" i="13"/>
  <c r="H30" i="13"/>
  <c r="H18" i="13"/>
  <c r="G18" i="13"/>
  <c r="F30" i="13"/>
  <c r="F18" i="13"/>
  <c r="E29" i="13"/>
  <c r="E30" i="13"/>
  <c r="E18" i="13"/>
  <c r="D29" i="13"/>
  <c r="D30" i="13"/>
  <c r="D18" i="13"/>
  <c r="C29" i="13"/>
  <c r="C30" i="13"/>
  <c r="C18" i="13"/>
  <c r="K17" i="13"/>
  <c r="J17" i="13"/>
  <c r="I17" i="13"/>
  <c r="H17" i="13"/>
  <c r="G17" i="13"/>
  <c r="F17" i="13"/>
  <c r="E17" i="13"/>
  <c r="D17" i="13"/>
  <c r="C17" i="13"/>
  <c r="K15" i="13"/>
  <c r="J15" i="13"/>
  <c r="I15" i="13"/>
  <c r="H15" i="13"/>
  <c r="G15" i="13"/>
  <c r="F15" i="13"/>
  <c r="E15" i="13"/>
  <c r="D15" i="13"/>
  <c r="C15" i="13"/>
  <c r="K14" i="13"/>
  <c r="J14" i="13"/>
  <c r="I14" i="13"/>
  <c r="H14" i="13"/>
  <c r="G14" i="13"/>
  <c r="F14" i="13"/>
  <c r="E14" i="13"/>
  <c r="D14" i="13"/>
  <c r="C14" i="13"/>
  <c r="K12" i="13"/>
  <c r="J12" i="13"/>
  <c r="I12" i="13"/>
  <c r="H12" i="13"/>
  <c r="G12" i="13"/>
  <c r="F12" i="13"/>
  <c r="E12" i="13"/>
  <c r="D12" i="13"/>
  <c r="C12" i="13"/>
  <c r="K10" i="13"/>
  <c r="J10" i="13"/>
  <c r="I10" i="13"/>
  <c r="H10" i="13"/>
  <c r="G10" i="13"/>
  <c r="F10" i="13"/>
  <c r="E10" i="13"/>
  <c r="D10" i="13"/>
  <c r="C10" i="13"/>
  <c r="K9" i="13"/>
  <c r="J9" i="13"/>
  <c r="I9" i="13"/>
  <c r="H9" i="13"/>
  <c r="G9" i="13"/>
  <c r="F9" i="13"/>
  <c r="E9" i="13"/>
  <c r="D9" i="13"/>
  <c r="C9" i="13"/>
  <c r="K8" i="13"/>
  <c r="J8" i="13"/>
  <c r="I8" i="13"/>
  <c r="H8" i="13"/>
  <c r="G8" i="13"/>
  <c r="F8" i="13"/>
  <c r="E8" i="13"/>
  <c r="D8" i="13"/>
  <c r="C8" i="13"/>
  <c r="K7" i="13"/>
  <c r="J7" i="13"/>
  <c r="I7" i="13"/>
  <c r="H7" i="13"/>
  <c r="G7" i="13"/>
  <c r="F7" i="13"/>
  <c r="E7" i="13"/>
  <c r="D7" i="13"/>
  <c r="C7" i="13"/>
  <c r="K6" i="13"/>
  <c r="J6" i="13"/>
  <c r="I6" i="13"/>
  <c r="H6" i="13"/>
  <c r="G6" i="13"/>
  <c r="F6" i="13"/>
  <c r="E6" i="13"/>
  <c r="D6" i="13"/>
  <c r="C6" i="13"/>
  <c r="K4" i="13"/>
  <c r="J4" i="13"/>
  <c r="I4" i="13"/>
  <c r="H4" i="13"/>
  <c r="F4" i="13"/>
  <c r="E4" i="13"/>
  <c r="D4" i="13"/>
  <c r="C4" i="13"/>
  <c r="G31" i="18"/>
  <c r="G30" i="18"/>
  <c r="K16" i="18"/>
  <c r="J30" i="18"/>
  <c r="J31" i="18"/>
  <c r="J16" i="18"/>
  <c r="I30" i="18"/>
  <c r="I31" i="18"/>
  <c r="I16" i="18"/>
  <c r="H30" i="18"/>
  <c r="H31" i="18"/>
  <c r="H16" i="18"/>
  <c r="G16" i="18"/>
  <c r="F31" i="18"/>
  <c r="F16" i="18"/>
  <c r="E30" i="18"/>
  <c r="E31" i="18"/>
  <c r="E16" i="18"/>
  <c r="D30" i="18"/>
  <c r="D31" i="18"/>
  <c r="D16" i="18"/>
  <c r="C30" i="18"/>
  <c r="C31" i="18"/>
  <c r="C16" i="18"/>
  <c r="K15" i="18"/>
  <c r="J15" i="18"/>
  <c r="I15" i="18"/>
  <c r="H15" i="18"/>
  <c r="G15" i="18"/>
  <c r="F15" i="18"/>
  <c r="E15" i="18"/>
  <c r="D15" i="18"/>
  <c r="C15" i="18"/>
  <c r="K14" i="18"/>
  <c r="J14" i="18"/>
  <c r="I14" i="18"/>
  <c r="H14" i="18"/>
  <c r="G14" i="18"/>
  <c r="F14" i="18"/>
  <c r="E14" i="18"/>
  <c r="D14" i="18"/>
  <c r="C14" i="18"/>
  <c r="K13" i="18"/>
  <c r="J13" i="18"/>
  <c r="I13" i="18"/>
  <c r="H13" i="18"/>
  <c r="G13" i="18"/>
  <c r="F13" i="18"/>
  <c r="E13" i="18"/>
  <c r="D13" i="18"/>
  <c r="C13" i="18"/>
  <c r="K12" i="18"/>
  <c r="J12" i="18"/>
  <c r="I12" i="18"/>
  <c r="H12" i="18"/>
  <c r="G12" i="18"/>
  <c r="F12" i="18"/>
  <c r="E12" i="18"/>
  <c r="D12" i="18"/>
  <c r="C12" i="18"/>
  <c r="K9" i="18"/>
  <c r="J9" i="18"/>
  <c r="I9" i="18"/>
  <c r="H9" i="18"/>
  <c r="G9" i="18"/>
  <c r="F9" i="18"/>
  <c r="E9" i="18"/>
  <c r="D9" i="18"/>
  <c r="C9" i="18"/>
  <c r="K8" i="18"/>
  <c r="J8" i="18"/>
  <c r="I8" i="18"/>
  <c r="H8" i="18"/>
  <c r="G8" i="18"/>
  <c r="F8" i="18"/>
  <c r="E8" i="18"/>
  <c r="D8" i="18"/>
  <c r="C8" i="18"/>
  <c r="K7" i="18"/>
  <c r="J7" i="18"/>
  <c r="I7" i="18"/>
  <c r="H7" i="18"/>
  <c r="G7" i="18"/>
  <c r="F7" i="18"/>
  <c r="E7" i="18"/>
  <c r="D7" i="18"/>
  <c r="C7" i="18"/>
  <c r="K6" i="18"/>
  <c r="J6" i="18"/>
  <c r="I6" i="18"/>
  <c r="H6" i="18"/>
  <c r="G6" i="18"/>
  <c r="F6" i="18"/>
  <c r="E6" i="18"/>
  <c r="D6" i="18"/>
  <c r="C6" i="18"/>
  <c r="K4" i="18"/>
  <c r="J4" i="18"/>
  <c r="I4" i="18"/>
  <c r="H4" i="18"/>
  <c r="F4" i="18"/>
  <c r="E4" i="18"/>
  <c r="D4" i="18"/>
  <c r="C4" i="18"/>
  <c r="G31" i="16"/>
  <c r="G30" i="16"/>
  <c r="K15" i="16"/>
  <c r="J30" i="16"/>
  <c r="J31" i="16"/>
  <c r="J15" i="16"/>
  <c r="I30" i="16"/>
  <c r="I31" i="16"/>
  <c r="I15" i="16"/>
  <c r="H30" i="16"/>
  <c r="H31" i="16"/>
  <c r="H15" i="16"/>
  <c r="G15" i="16"/>
  <c r="F31" i="16"/>
  <c r="F15" i="16"/>
  <c r="E30" i="16"/>
  <c r="E31" i="16"/>
  <c r="E15" i="16"/>
  <c r="D30" i="16"/>
  <c r="D31" i="16"/>
  <c r="D15" i="16"/>
  <c r="C30" i="16"/>
  <c r="C31" i="16"/>
  <c r="C15" i="16"/>
  <c r="K14" i="16"/>
  <c r="J14" i="16"/>
  <c r="I14" i="16"/>
  <c r="H14" i="16"/>
  <c r="G14" i="16"/>
  <c r="F14" i="16"/>
  <c r="E14" i="16"/>
  <c r="D14" i="16"/>
  <c r="C14" i="16"/>
  <c r="K13" i="16"/>
  <c r="J13" i="16"/>
  <c r="I13" i="16"/>
  <c r="H13" i="16"/>
  <c r="G13" i="16"/>
  <c r="F13" i="16"/>
  <c r="E13" i="16"/>
  <c r="D13" i="16"/>
  <c r="C13" i="16"/>
  <c r="K12" i="16"/>
  <c r="J12" i="16"/>
  <c r="I12" i="16"/>
  <c r="H12" i="16"/>
  <c r="G12" i="16"/>
  <c r="F12" i="16"/>
  <c r="E12" i="16"/>
  <c r="D12" i="16"/>
  <c r="C12" i="16"/>
  <c r="K11" i="16"/>
  <c r="J11" i="16"/>
  <c r="I11" i="16"/>
  <c r="H11" i="16"/>
  <c r="G11" i="16"/>
  <c r="F11" i="16"/>
  <c r="E11" i="16"/>
  <c r="D11" i="16"/>
  <c r="C11" i="16"/>
  <c r="K8" i="16"/>
  <c r="J8" i="16"/>
  <c r="I8" i="16"/>
  <c r="H8" i="16"/>
  <c r="G8" i="16"/>
  <c r="F8" i="16"/>
  <c r="E8" i="16"/>
  <c r="D8" i="16"/>
  <c r="C8" i="16"/>
  <c r="K7" i="16"/>
  <c r="J7" i="16"/>
  <c r="I7" i="16"/>
  <c r="H7" i="16"/>
  <c r="G7" i="16"/>
  <c r="F7" i="16"/>
  <c r="E7" i="16"/>
  <c r="D7" i="16"/>
  <c r="C7" i="16"/>
  <c r="K6" i="16"/>
  <c r="J6" i="16"/>
  <c r="I6" i="16"/>
  <c r="H6" i="16"/>
  <c r="G6" i="16"/>
  <c r="F6" i="16"/>
  <c r="E6" i="16"/>
  <c r="D6" i="16"/>
  <c r="C6" i="16"/>
  <c r="K4" i="16"/>
  <c r="J4" i="16"/>
  <c r="I4" i="16"/>
  <c r="H4" i="16"/>
  <c r="F4" i="16"/>
  <c r="E4" i="16"/>
  <c r="D4" i="16"/>
  <c r="C4" i="16"/>
  <c r="G30" i="10"/>
  <c r="G29" i="10"/>
  <c r="K18" i="10"/>
  <c r="J29" i="10"/>
  <c r="J30" i="10"/>
  <c r="J18" i="10"/>
  <c r="I29" i="10"/>
  <c r="I30" i="10"/>
  <c r="I18" i="10"/>
  <c r="H29" i="10"/>
  <c r="H30" i="10"/>
  <c r="H18" i="10"/>
  <c r="G18" i="10"/>
  <c r="F30" i="10"/>
  <c r="F18" i="10"/>
  <c r="E29" i="10"/>
  <c r="E30" i="10"/>
  <c r="E18" i="10"/>
  <c r="D29" i="10"/>
  <c r="D30" i="10"/>
  <c r="D18" i="10"/>
  <c r="C29" i="10"/>
  <c r="C30" i="10"/>
  <c r="C18" i="10"/>
  <c r="K17" i="10"/>
  <c r="J17" i="10"/>
  <c r="I17" i="10"/>
  <c r="H17" i="10"/>
  <c r="G17" i="10"/>
  <c r="F17" i="10"/>
  <c r="E17" i="10"/>
  <c r="D17" i="10"/>
  <c r="C17" i="10"/>
  <c r="K16" i="10"/>
  <c r="J16" i="10"/>
  <c r="I16" i="10"/>
  <c r="H16" i="10"/>
  <c r="G16" i="10"/>
  <c r="F16" i="10"/>
  <c r="E16" i="10"/>
  <c r="D16" i="10"/>
  <c r="C16" i="10"/>
  <c r="K15" i="10"/>
  <c r="J15" i="10"/>
  <c r="I15" i="10"/>
  <c r="H15" i="10"/>
  <c r="G15" i="10"/>
  <c r="F15" i="10"/>
  <c r="E15" i="10"/>
  <c r="D15" i="10"/>
  <c r="C15" i="10"/>
  <c r="K14" i="10"/>
  <c r="J14" i="10"/>
  <c r="I14" i="10"/>
  <c r="H14" i="10"/>
  <c r="G14" i="10"/>
  <c r="F14" i="10"/>
  <c r="E14" i="10"/>
  <c r="D14" i="10"/>
  <c r="C14" i="10"/>
  <c r="K13" i="10"/>
  <c r="J13" i="10"/>
  <c r="I13" i="10"/>
  <c r="H13" i="10"/>
  <c r="G13" i="10"/>
  <c r="F13" i="10"/>
  <c r="E13" i="10"/>
  <c r="D13" i="10"/>
  <c r="C13" i="10"/>
  <c r="K12" i="10"/>
  <c r="J12" i="10"/>
  <c r="I12" i="10"/>
  <c r="H12" i="10"/>
  <c r="G12" i="10"/>
  <c r="F12" i="10"/>
  <c r="E12" i="10"/>
  <c r="D12" i="10"/>
  <c r="C12" i="10"/>
  <c r="K11" i="10"/>
  <c r="J11" i="10"/>
  <c r="I11" i="10"/>
  <c r="H11" i="10"/>
  <c r="G11" i="10"/>
  <c r="F11" i="10"/>
  <c r="E11" i="10"/>
  <c r="D11" i="10"/>
  <c r="C11" i="10"/>
  <c r="K10" i="10"/>
  <c r="J10" i="10"/>
  <c r="I10" i="10"/>
  <c r="H10" i="10"/>
  <c r="G10" i="10"/>
  <c r="F10" i="10"/>
  <c r="E10" i="10"/>
  <c r="D10" i="10"/>
  <c r="C10" i="10"/>
  <c r="K9" i="10"/>
  <c r="J9" i="10"/>
  <c r="I9" i="10"/>
  <c r="H9" i="10"/>
  <c r="G9" i="10"/>
  <c r="F9" i="10"/>
  <c r="E9" i="10"/>
  <c r="D9" i="10"/>
  <c r="C9" i="10"/>
  <c r="K8" i="10"/>
  <c r="J8" i="10"/>
  <c r="I8" i="10"/>
  <c r="H8" i="10"/>
  <c r="G8" i="10"/>
  <c r="F8" i="10"/>
  <c r="E8" i="10"/>
  <c r="D8" i="10"/>
  <c r="C8" i="10"/>
  <c r="K7" i="10"/>
  <c r="J7" i="10"/>
  <c r="I7" i="10"/>
  <c r="H7" i="10"/>
  <c r="G7" i="10"/>
  <c r="F7" i="10"/>
  <c r="E7" i="10"/>
  <c r="D7" i="10"/>
  <c r="C7" i="10"/>
  <c r="K6" i="10"/>
  <c r="J6" i="10"/>
  <c r="I6" i="10"/>
  <c r="H6" i="10"/>
  <c r="G6" i="10"/>
  <c r="F6" i="10"/>
  <c r="E6" i="10"/>
  <c r="D6" i="10"/>
  <c r="C6" i="10"/>
  <c r="K5" i="10"/>
  <c r="J5" i="10"/>
  <c r="I5" i="10"/>
  <c r="H5" i="10"/>
  <c r="G5" i="10"/>
  <c r="F5" i="10"/>
  <c r="E5" i="10"/>
  <c r="D5" i="10"/>
  <c r="C5" i="10"/>
  <c r="K4" i="10"/>
  <c r="J4" i="10"/>
  <c r="I4" i="10"/>
  <c r="H4" i="10"/>
  <c r="F4" i="10"/>
  <c r="E4" i="10"/>
  <c r="D4" i="10"/>
  <c r="C4" i="10"/>
  <c r="L18" i="8"/>
  <c r="K18" i="8"/>
  <c r="F18" i="8"/>
  <c r="E18" i="8"/>
  <c r="J17" i="8"/>
  <c r="I17" i="8"/>
  <c r="H17" i="8"/>
  <c r="G17" i="8"/>
  <c r="D17" i="8"/>
  <c r="C17" i="8"/>
  <c r="L16" i="8"/>
  <c r="K16" i="8"/>
  <c r="J16" i="8"/>
  <c r="I16" i="8"/>
  <c r="H16" i="8"/>
  <c r="G16" i="8"/>
  <c r="F16" i="8"/>
  <c r="E16" i="8"/>
  <c r="D16" i="8"/>
  <c r="C16" i="8"/>
  <c r="L14" i="8"/>
  <c r="K14" i="8"/>
  <c r="F14" i="8"/>
  <c r="E14" i="8"/>
  <c r="L13" i="8"/>
  <c r="K13" i="8"/>
  <c r="J13" i="8"/>
  <c r="I13" i="8"/>
  <c r="H13" i="8"/>
  <c r="G13" i="8"/>
  <c r="F13" i="8"/>
  <c r="E13" i="8"/>
  <c r="D13" i="8"/>
  <c r="C13" i="8"/>
  <c r="L9" i="8"/>
  <c r="K9" i="8"/>
  <c r="F9" i="8"/>
  <c r="E9" i="8"/>
  <c r="J8" i="8"/>
  <c r="I8" i="8"/>
  <c r="H8" i="8"/>
  <c r="G8" i="8"/>
  <c r="D8" i="8"/>
  <c r="C8" i="8"/>
  <c r="L7" i="8"/>
  <c r="K7" i="8"/>
  <c r="J7" i="8"/>
  <c r="I7" i="8"/>
  <c r="H7" i="8"/>
  <c r="G7" i="8"/>
  <c r="F7" i="8"/>
  <c r="E7" i="8"/>
  <c r="D7" i="8"/>
  <c r="C7" i="8"/>
  <c r="L5" i="8"/>
  <c r="K5" i="8"/>
  <c r="F5" i="8"/>
  <c r="E5" i="8"/>
  <c r="L4" i="8"/>
  <c r="K4" i="8"/>
  <c r="J4" i="8"/>
  <c r="I4" i="8"/>
  <c r="H4" i="8"/>
  <c r="G4" i="8"/>
  <c r="F4" i="8"/>
  <c r="E4" i="8"/>
  <c r="D4" i="8"/>
  <c r="C4" i="8"/>
  <c r="C26" i="3"/>
  <c r="C25" i="3"/>
  <c r="C21" i="3"/>
  <c r="C20" i="3"/>
  <c r="C19" i="3"/>
  <c r="C18" i="3"/>
  <c r="AB9" i="3"/>
  <c r="AC9" i="3"/>
  <c r="AE9" i="3"/>
  <c r="N12" i="3"/>
  <c r="N13" i="3"/>
  <c r="N14" i="3"/>
  <c r="N15" i="3"/>
  <c r="N16" i="3"/>
  <c r="AE16" i="3"/>
  <c r="AD9" i="3"/>
  <c r="AD16" i="3"/>
  <c r="AC16" i="3"/>
  <c r="AB16" i="3"/>
  <c r="AA16" i="3"/>
  <c r="P9" i="3"/>
  <c r="Q9" i="3"/>
  <c r="R9" i="3"/>
  <c r="S9" i="3"/>
  <c r="T9" i="3"/>
  <c r="U9" i="3"/>
  <c r="V9" i="3"/>
  <c r="W9" i="3"/>
  <c r="X9" i="3"/>
  <c r="Y9" i="3"/>
  <c r="Z9" i="3"/>
  <c r="Z16" i="3"/>
  <c r="Y16" i="3"/>
  <c r="X16" i="3"/>
  <c r="W16" i="3"/>
  <c r="V16" i="3"/>
  <c r="U16" i="3"/>
  <c r="T16" i="3"/>
  <c r="S16" i="3"/>
  <c r="R16" i="3"/>
  <c r="Q16" i="3"/>
  <c r="O8" i="3"/>
  <c r="P8" i="3"/>
  <c r="O7" i="3"/>
  <c r="P7" i="3"/>
  <c r="P16" i="3"/>
  <c r="O16" i="3"/>
  <c r="AE15" i="3"/>
  <c r="AD15" i="3"/>
  <c r="AC15" i="3"/>
  <c r="AB15" i="3"/>
  <c r="AA15" i="3"/>
  <c r="Z15" i="3"/>
  <c r="Y15" i="3"/>
  <c r="X15" i="3"/>
  <c r="W15" i="3"/>
  <c r="V15" i="3"/>
  <c r="U15" i="3"/>
  <c r="T15" i="3"/>
  <c r="S15" i="3"/>
  <c r="R15" i="3"/>
  <c r="Q15" i="3"/>
  <c r="P15" i="3"/>
  <c r="O15" i="3"/>
  <c r="C15" i="3"/>
  <c r="AE14" i="3"/>
  <c r="AD14" i="3"/>
  <c r="AC14" i="3"/>
  <c r="AB14" i="3"/>
  <c r="AA14" i="3"/>
  <c r="Z14" i="3"/>
  <c r="Y14" i="3"/>
  <c r="X14" i="3"/>
  <c r="W14" i="3"/>
  <c r="V14" i="3"/>
  <c r="U14" i="3"/>
  <c r="T14" i="3"/>
  <c r="S14" i="3"/>
  <c r="R14" i="3"/>
  <c r="Q14" i="3"/>
  <c r="P14" i="3"/>
  <c r="O14" i="3"/>
  <c r="C14" i="3"/>
  <c r="AE13" i="3"/>
  <c r="AD13" i="3"/>
  <c r="AC13" i="3"/>
  <c r="AB13" i="3"/>
  <c r="AA13" i="3"/>
  <c r="Z13" i="3"/>
  <c r="Y13" i="3"/>
  <c r="X13" i="3"/>
  <c r="W13" i="3"/>
  <c r="V13" i="3"/>
  <c r="U13" i="3"/>
  <c r="T13" i="3"/>
  <c r="S13" i="3"/>
  <c r="R13" i="3"/>
  <c r="Q13" i="3"/>
  <c r="P13" i="3"/>
  <c r="O13" i="3"/>
  <c r="C13" i="3"/>
  <c r="AE12" i="3"/>
  <c r="AD12" i="3"/>
  <c r="AC12" i="3"/>
  <c r="AB12" i="3"/>
  <c r="AA12" i="3"/>
  <c r="Z12" i="3"/>
  <c r="Y12" i="3"/>
  <c r="X12" i="3"/>
  <c r="W12" i="3"/>
  <c r="V12" i="3"/>
  <c r="U12" i="3"/>
  <c r="T12" i="3"/>
  <c r="S12" i="3"/>
  <c r="R12" i="3"/>
  <c r="Q12" i="3"/>
  <c r="P12" i="3"/>
  <c r="O12" i="3"/>
  <c r="C12" i="3"/>
  <c r="AE11" i="3"/>
  <c r="AD11" i="3"/>
  <c r="AC11" i="3"/>
  <c r="AB11" i="3"/>
  <c r="AA11" i="3"/>
  <c r="Z11" i="3"/>
  <c r="Y11" i="3"/>
  <c r="X11" i="3"/>
  <c r="W11" i="3"/>
  <c r="V11" i="3"/>
  <c r="U11" i="3"/>
  <c r="T11" i="3"/>
  <c r="S11" i="3"/>
  <c r="R11" i="3"/>
  <c r="Q11" i="3"/>
  <c r="P11" i="3"/>
  <c r="O11" i="3"/>
  <c r="C11" i="3"/>
  <c r="J10" i="3"/>
  <c r="I10" i="3"/>
  <c r="H10" i="3"/>
  <c r="C10" i="3"/>
  <c r="H9" i="3"/>
  <c r="I9" i="3"/>
  <c r="J9" i="3"/>
  <c r="H8" i="3"/>
  <c r="I8" i="3"/>
  <c r="J8" i="3"/>
  <c r="H7" i="3"/>
  <c r="I7" i="3"/>
  <c r="J7" i="3"/>
  <c r="C7" i="3"/>
  <c r="J6" i="3"/>
  <c r="I6" i="3"/>
  <c r="H6" i="3"/>
  <c r="C6" i="3"/>
  <c r="J5" i="3"/>
  <c r="I5" i="3"/>
  <c r="H5" i="3"/>
  <c r="C10" i="7"/>
  <c r="Y9" i="1"/>
  <c r="Y8"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AA71" i="1"/>
  <c r="Y71" i="1"/>
  <c r="AA70" i="1"/>
  <c r="Y70" i="1"/>
  <c r="AA69" i="1"/>
  <c r="Y69" i="1"/>
  <c r="AA68" i="1"/>
  <c r="Y68" i="1"/>
  <c r="AA67" i="1"/>
  <c r="Y67" i="1"/>
  <c r="AA66" i="1"/>
  <c r="Y66" i="1"/>
  <c r="AA65" i="1"/>
  <c r="Y65" i="1"/>
  <c r="AA64" i="1"/>
  <c r="Y64" i="1"/>
  <c r="AA63" i="1"/>
  <c r="Y63" i="1"/>
  <c r="AA62" i="1"/>
  <c r="Y62" i="1"/>
  <c r="AA61" i="1"/>
  <c r="Y61" i="1"/>
  <c r="AA60" i="1"/>
  <c r="Y60" i="1"/>
  <c r="AA59" i="1"/>
  <c r="Y59" i="1"/>
  <c r="AA58" i="1"/>
  <c r="Y58" i="1"/>
  <c r="AA57" i="1"/>
  <c r="Y57" i="1"/>
  <c r="AA56" i="1"/>
  <c r="Y56" i="1"/>
  <c r="AA55" i="1"/>
  <c r="Y55" i="1"/>
  <c r="AA54" i="1"/>
  <c r="Y54" i="1"/>
  <c r="AA53" i="1"/>
  <c r="Y53" i="1"/>
  <c r="AA52" i="1"/>
  <c r="Y52" i="1"/>
  <c r="AA51" i="1"/>
  <c r="Y51" i="1"/>
  <c r="AA50" i="1"/>
  <c r="Y50" i="1"/>
  <c r="AA49" i="1"/>
  <c r="Y49" i="1"/>
  <c r="AA48" i="1"/>
  <c r="Y48" i="1"/>
  <c r="AA47" i="1"/>
  <c r="Y47" i="1"/>
  <c r="AA46" i="1"/>
  <c r="Y46" i="1"/>
  <c r="AA45" i="1"/>
  <c r="Y45" i="1"/>
  <c r="AA44" i="1"/>
  <c r="Y44" i="1"/>
  <c r="AA43" i="1"/>
  <c r="Y43" i="1"/>
  <c r="AA42" i="1"/>
  <c r="Y42" i="1"/>
  <c r="AA41" i="1"/>
  <c r="Y41" i="1"/>
  <c r="AA40" i="1"/>
  <c r="Y40" i="1"/>
  <c r="AA39" i="1"/>
  <c r="Y39" i="1"/>
  <c r="AA38" i="1"/>
  <c r="Y38" i="1"/>
  <c r="AA37" i="1"/>
  <c r="Y37" i="1"/>
  <c r="P37" i="1"/>
  <c r="F37" i="1"/>
  <c r="AA36" i="1"/>
  <c r="Y36" i="1"/>
  <c r="AA35" i="1"/>
  <c r="Y35" i="1"/>
  <c r="AA34" i="1"/>
  <c r="Y34" i="1"/>
  <c r="AA33" i="1"/>
  <c r="Y33" i="1"/>
  <c r="AA32" i="1"/>
  <c r="Y32" i="1"/>
  <c r="AA31" i="1"/>
  <c r="Y31" i="1"/>
  <c r="AA30" i="1"/>
  <c r="Y30" i="1"/>
  <c r="N30" i="1"/>
  <c r="AA29" i="1"/>
  <c r="Y29" i="1"/>
  <c r="N29" i="1"/>
  <c r="AA28" i="1"/>
  <c r="Y28" i="1"/>
  <c r="AA27" i="1"/>
  <c r="Y27" i="1"/>
  <c r="AA26" i="1"/>
  <c r="Y26" i="1"/>
  <c r="AA25" i="1"/>
  <c r="Y25" i="1"/>
  <c r="AA24" i="1"/>
  <c r="Y24" i="1"/>
  <c r="AA12" i="1"/>
  <c r="N24" i="1"/>
  <c r="AA23" i="1"/>
  <c r="Y23" i="1"/>
  <c r="AA22" i="1"/>
  <c r="Y22" i="1"/>
  <c r="AA21" i="1"/>
  <c r="Y21" i="1"/>
  <c r="M21" i="1"/>
  <c r="AA20" i="1"/>
  <c r="Y20" i="1"/>
  <c r="AA19" i="1"/>
  <c r="Y19" i="1"/>
  <c r="AA18" i="1"/>
  <c r="Y18" i="1"/>
  <c r="AA17" i="1"/>
  <c r="Y17" i="1"/>
  <c r="AA16" i="1"/>
  <c r="Y16" i="1"/>
  <c r="AA15" i="1"/>
  <c r="Y15" i="1"/>
  <c r="AA14" i="1"/>
  <c r="Y14" i="1"/>
  <c r="AA13" i="1"/>
  <c r="Y13" i="1"/>
  <c r="Y12" i="1"/>
  <c r="V8" i="1"/>
  <c r="W8" i="1"/>
  <c r="U8" i="1"/>
  <c r="T7" i="1"/>
  <c r="T8" i="1"/>
  <c r="S7" i="1"/>
  <c r="S8" i="1"/>
  <c r="R7" i="1"/>
  <c r="R8" i="1"/>
  <c r="Q7" i="1"/>
  <c r="Q8" i="1"/>
  <c r="P7" i="1"/>
  <c r="P8" i="1"/>
  <c r="Y6" i="1"/>
  <c r="B6" i="1"/>
  <c r="Y5" i="1"/>
  <c r="L4" i="1"/>
  <c r="J4" i="1"/>
  <c r="H4" i="1"/>
  <c r="F4" i="1"/>
  <c r="D4" i="1"/>
  <c r="B4" i="1"/>
  <c r="C8" i="7"/>
  <c r="C13" i="9"/>
  <c r="C10" i="9"/>
  <c r="C32" i="14"/>
  <c r="C30" i="19"/>
  <c r="C28" i="11"/>
  <c r="C29" i="17"/>
  <c r="B15" i="19"/>
  <c r="B14" i="19"/>
  <c r="B13" i="19"/>
  <c r="B12" i="19"/>
  <c r="B11" i="19"/>
  <c r="B10" i="19"/>
  <c r="B8" i="19"/>
  <c r="B7" i="19"/>
  <c r="B6" i="19"/>
  <c r="B5" i="19"/>
  <c r="B4" i="19"/>
  <c r="B14" i="17"/>
  <c r="B13" i="17"/>
  <c r="B12" i="17"/>
  <c r="B11" i="17"/>
  <c r="B10" i="17"/>
  <c r="B9" i="17"/>
  <c r="B7" i="17"/>
  <c r="B6" i="17"/>
  <c r="B5" i="17"/>
  <c r="B4" i="17"/>
  <c r="I36" i="9"/>
  <c r="G13" i="3"/>
  <c r="S6" i="1"/>
  <c r="R6" i="1"/>
  <c r="Q6" i="1"/>
  <c r="P6" i="1"/>
  <c r="J8" i="14"/>
  <c r="I8" i="14"/>
  <c r="J14" i="14"/>
  <c r="I14" i="14"/>
  <c r="J17" i="14"/>
  <c r="I17" i="14"/>
  <c r="I5" i="14"/>
  <c r="J5" i="14"/>
  <c r="I7" i="14"/>
  <c r="J7" i="14"/>
  <c r="I9" i="14"/>
  <c r="J9" i="14"/>
  <c r="I13" i="14"/>
  <c r="J13" i="14"/>
  <c r="I16" i="14"/>
  <c r="J16" i="14"/>
  <c r="J6" i="14"/>
  <c r="I6" i="14"/>
  <c r="J11" i="14"/>
  <c r="I11" i="14"/>
  <c r="I6" i="19"/>
  <c r="J6" i="19"/>
  <c r="I8" i="19"/>
  <c r="J8" i="19"/>
  <c r="I12" i="19"/>
  <c r="J12" i="19"/>
  <c r="I14" i="19"/>
  <c r="J14" i="19"/>
  <c r="I5" i="19"/>
  <c r="J5" i="19"/>
  <c r="I7" i="19"/>
  <c r="J7" i="19"/>
  <c r="I11" i="19"/>
  <c r="J11" i="19"/>
  <c r="I13" i="19"/>
  <c r="J13" i="19"/>
  <c r="I15" i="19"/>
  <c r="J15" i="19"/>
  <c r="J10" i="17"/>
  <c r="I10" i="17"/>
  <c r="I14" i="17"/>
  <c r="J14" i="17"/>
  <c r="J5" i="17"/>
  <c r="I5" i="17"/>
  <c r="J7" i="17"/>
  <c r="I7" i="17"/>
  <c r="I11" i="17"/>
  <c r="J11" i="17"/>
  <c r="J13" i="17"/>
  <c r="I13" i="17"/>
  <c r="I12" i="17"/>
  <c r="J12" i="17"/>
  <c r="I6" i="17"/>
  <c r="J6" i="17"/>
  <c r="J19" i="11"/>
  <c r="I19" i="11"/>
  <c r="J21" i="11"/>
  <c r="I21" i="11"/>
  <c r="I14" i="11"/>
  <c r="J14" i="11"/>
  <c r="I16" i="11"/>
  <c r="J16" i="11"/>
  <c r="I18" i="11"/>
  <c r="J18" i="11"/>
  <c r="I20" i="11"/>
  <c r="J20" i="11"/>
  <c r="I22" i="11"/>
  <c r="C26" i="11"/>
  <c r="D26" i="11"/>
  <c r="E26" i="11"/>
  <c r="F26" i="11"/>
  <c r="G26" i="11"/>
  <c r="H26" i="11"/>
  <c r="J22" i="11"/>
  <c r="C27" i="11"/>
  <c r="D27" i="11"/>
  <c r="E27" i="11"/>
  <c r="F27" i="11"/>
  <c r="G27" i="11"/>
  <c r="H27" i="11"/>
  <c r="J24" i="11"/>
  <c r="I24" i="11"/>
  <c r="J13" i="11"/>
  <c r="I13" i="11"/>
  <c r="J15" i="11"/>
  <c r="I15" i="11"/>
  <c r="J17" i="11"/>
  <c r="I17" i="11"/>
  <c r="H32" i="9"/>
  <c r="I30" i="9"/>
  <c r="F7" i="9"/>
  <c r="G7" i="9"/>
  <c r="I31" i="9"/>
  <c r="J40" i="9"/>
  <c r="G31" i="9"/>
  <c r="J31" i="9"/>
  <c r="D3" i="9"/>
  <c r="G4" i="13"/>
  <c r="G4" i="18"/>
  <c r="G4" i="16"/>
  <c r="G4" i="10"/>
  <c r="E6" i="8"/>
  <c r="E17" i="8"/>
  <c r="L8" i="8"/>
  <c r="F10" i="8"/>
  <c r="L15" i="8"/>
  <c r="K6" i="8"/>
  <c r="E8" i="8"/>
  <c r="K10" i="8"/>
  <c r="E15" i="8"/>
  <c r="K17" i="8"/>
  <c r="E19" i="8"/>
  <c r="L6" i="8"/>
  <c r="F8" i="8"/>
  <c r="L10" i="8"/>
  <c r="F15" i="8"/>
  <c r="L17" i="8"/>
  <c r="F19" i="8"/>
  <c r="E10" i="8"/>
  <c r="K15" i="8"/>
  <c r="K19" i="8"/>
  <c r="K8" i="8"/>
  <c r="F6" i="8"/>
  <c r="F17" i="8"/>
  <c r="L19" i="8"/>
  <c r="G15" i="3"/>
  <c r="H15" i="3"/>
  <c r="H25" i="3"/>
  <c r="G9" i="3"/>
  <c r="G16" i="3"/>
  <c r="H16" i="3"/>
  <c r="H22" i="3"/>
  <c r="H26" i="3"/>
  <c r="G22" i="3"/>
  <c r="G26" i="3"/>
  <c r="G10" i="3"/>
  <c r="H23" i="3"/>
  <c r="G23" i="3"/>
  <c r="G7" i="3"/>
  <c r="G14" i="3"/>
  <c r="H14" i="3"/>
  <c r="G17" i="3"/>
  <c r="H17" i="3"/>
  <c r="H24" i="3"/>
  <c r="G24" i="3"/>
  <c r="G8" i="3"/>
  <c r="G18" i="3"/>
  <c r="H18" i="3"/>
  <c r="G25" i="3"/>
  <c r="C22" i="3"/>
  <c r="C4" i="3"/>
  <c r="C5" i="3"/>
  <c r="C24" i="3"/>
  <c r="U7" i="1"/>
  <c r="B22" i="3"/>
  <c r="W7" i="1"/>
  <c r="V7" i="1"/>
  <c r="B19" i="3"/>
  <c r="B37" i="1"/>
  <c r="C23" i="3"/>
  <c r="Z12" i="1"/>
  <c r="Z70" i="1"/>
  <c r="Z68" i="1"/>
  <c r="Z66" i="1"/>
  <c r="Z64" i="1"/>
  <c r="Z62" i="1"/>
  <c r="Z60" i="1"/>
  <c r="Z58" i="1"/>
  <c r="Z56" i="1"/>
  <c r="Z54" i="1"/>
  <c r="Z52" i="1"/>
  <c r="Z50" i="1"/>
  <c r="Z48" i="1"/>
  <c r="Z46" i="1"/>
  <c r="Z44" i="1"/>
  <c r="Z42" i="1"/>
  <c r="Z40" i="1"/>
  <c r="Z38" i="1"/>
  <c r="Z36" i="1"/>
  <c r="Z34" i="1"/>
  <c r="Z32" i="1"/>
  <c r="Z30" i="1"/>
  <c r="Z28" i="1"/>
  <c r="Z26" i="1"/>
  <c r="Z24" i="1"/>
  <c r="Z22" i="1"/>
  <c r="Z20" i="1"/>
  <c r="Z18" i="1"/>
  <c r="Z16" i="1"/>
  <c r="Z14" i="1"/>
  <c r="N28" i="1"/>
  <c r="N25" i="1"/>
  <c r="N27" i="1"/>
  <c r="N26" i="1"/>
  <c r="Z71" i="1"/>
  <c r="Z69" i="1"/>
  <c r="Z67" i="1"/>
  <c r="Z65" i="1"/>
  <c r="Z63" i="1"/>
  <c r="Z61" i="1"/>
  <c r="Z59" i="1"/>
  <c r="Z57" i="1"/>
  <c r="Z55" i="1"/>
  <c r="Z53" i="1"/>
  <c r="Z51" i="1"/>
  <c r="Z49" i="1"/>
  <c r="Z47" i="1"/>
  <c r="Z45" i="1"/>
  <c r="Z43" i="1"/>
  <c r="Z41" i="1"/>
  <c r="Z39" i="1"/>
  <c r="Z37" i="1"/>
  <c r="Z35" i="1"/>
  <c r="Z33" i="1"/>
  <c r="Z31" i="1"/>
  <c r="Z29" i="1"/>
  <c r="Z27" i="1"/>
  <c r="Z25" i="1"/>
  <c r="Z23" i="1"/>
  <c r="Z21" i="1"/>
  <c r="Z19" i="1"/>
  <c r="Z17" i="1"/>
  <c r="Z15" i="1"/>
  <c r="Z13" i="1"/>
  <c r="C17" i="9"/>
  <c r="D6" i="9"/>
  <c r="G38" i="9"/>
  <c r="G40" i="9"/>
  <c r="G30" i="9"/>
  <c r="J30" i="9"/>
  <c r="J32" i="9"/>
  <c r="D19" i="9"/>
  <c r="I32" i="9"/>
  <c r="D24" i="9"/>
  <c r="D20" i="9"/>
  <c r="E3" i="9"/>
  <c r="D13" i="9"/>
  <c r="E13" i="9"/>
  <c r="F13" i="9"/>
  <c r="G13" i="9"/>
  <c r="D10" i="9"/>
  <c r="E10" i="9"/>
  <c r="F10" i="9"/>
  <c r="G10" i="9"/>
  <c r="G5" i="3"/>
  <c r="B24" i="3"/>
  <c r="B21" i="3"/>
  <c r="B20" i="3"/>
  <c r="B23" i="3"/>
  <c r="E19" i="9"/>
  <c r="D30" i="9"/>
  <c r="E24" i="9"/>
  <c r="F24" i="9"/>
  <c r="G24" i="9"/>
  <c r="H24" i="9"/>
  <c r="E20" i="9"/>
  <c r="F3" i="9"/>
  <c r="G3" i="9"/>
  <c r="H3" i="9"/>
  <c r="D12" i="9"/>
  <c r="D15" i="9"/>
  <c r="D9" i="9"/>
  <c r="E6" i="9"/>
  <c r="G6" i="3"/>
  <c r="F6" i="9"/>
  <c r="E9" i="9"/>
  <c r="E12" i="9"/>
  <c r="E15" i="9"/>
  <c r="E17" i="9"/>
  <c r="E25" i="9"/>
  <c r="F19" i="9"/>
  <c r="D17" i="9"/>
  <c r="D25" i="9"/>
  <c r="F9" i="9"/>
  <c r="F12" i="9"/>
  <c r="F15" i="9"/>
  <c r="F17" i="9"/>
  <c r="F25" i="9"/>
  <c r="G19" i="9"/>
  <c r="G6" i="9"/>
  <c r="G9" i="9"/>
  <c r="G12" i="9"/>
  <c r="G15" i="9"/>
  <c r="G17" i="9"/>
  <c r="G25" i="9"/>
  <c r="D27" i="9"/>
  <c r="H6" i="9"/>
  <c r="H19" i="9"/>
  <c r="H21" i="9"/>
  <c r="H9" i="9"/>
  <c r="H12" i="9"/>
  <c r="H15" i="9"/>
  <c r="H22" i="9"/>
  <c r="H25" i="9"/>
  <c r="D28" i="9"/>
  <c r="D29" i="9"/>
  <c r="D31" i="9"/>
  <c r="D35" i="9"/>
  <c r="D38" i="9"/>
  <c r="D41" i="9"/>
  <c r="H17" i="9"/>
</calcChain>
</file>

<file path=xl/sharedStrings.xml><?xml version="1.0" encoding="utf-8"?>
<sst xmlns="http://schemas.openxmlformats.org/spreadsheetml/2006/main" count="325" uniqueCount="235">
  <si>
    <t>EV (M)</t>
  </si>
  <si>
    <t>Sales (M)</t>
  </si>
  <si>
    <t>Start Date</t>
  </si>
  <si>
    <t>End Date</t>
  </si>
  <si>
    <t>Frequency</t>
  </si>
  <si>
    <t>Close</t>
  </si>
  <si>
    <t>Sequence</t>
  </si>
  <si>
    <t>monthly</t>
  </si>
  <si>
    <t xml:space="preserve"> Formula Date</t>
  </si>
  <si>
    <t>Current</t>
  </si>
  <si>
    <t>Beta</t>
  </si>
  <si>
    <t>PE TTM</t>
  </si>
  <si>
    <t>52WK High</t>
  </si>
  <si>
    <t>52WK Low</t>
  </si>
  <si>
    <t>Trading Information</t>
  </si>
  <si>
    <t>Current Price</t>
  </si>
  <si>
    <t>52 Week Range</t>
  </si>
  <si>
    <t>Key Statistics</t>
  </si>
  <si>
    <t>Ent Value (M)</t>
  </si>
  <si>
    <t>Dividend (Ann)</t>
  </si>
  <si>
    <t>Estimates</t>
  </si>
  <si>
    <t>Target Price</t>
  </si>
  <si>
    <t>Mkt Cap (M)</t>
  </si>
  <si>
    <t>Shares Out (M)</t>
  </si>
  <si>
    <t>Valuation</t>
  </si>
  <si>
    <t>Profitability (%)</t>
  </si>
  <si>
    <t>Gross Margin</t>
  </si>
  <si>
    <t>EBITDA Margin</t>
  </si>
  <si>
    <t>EBIT Margin</t>
  </si>
  <si>
    <t>ROE</t>
  </si>
  <si>
    <t>Growth (%)</t>
  </si>
  <si>
    <t xml:space="preserve">EBIT </t>
  </si>
  <si>
    <t xml:space="preserve">EBITDA </t>
  </si>
  <si>
    <t>roe</t>
  </si>
  <si>
    <t>profitmargin</t>
  </si>
  <si>
    <t>pricetoearnings</t>
  </si>
  <si>
    <t>tag</t>
  </si>
  <si>
    <t>grossmargin</t>
  </si>
  <si>
    <t>operatingmargin</t>
  </si>
  <si>
    <t>ebitmargin</t>
  </si>
  <si>
    <t>Days to Cover</t>
  </si>
  <si>
    <t>ebitdamargin</t>
  </si>
  <si>
    <t>yearly</t>
  </si>
  <si>
    <t>pricetorevenue</t>
  </si>
  <si>
    <t>pricetobook</t>
  </si>
  <si>
    <t>evtofcff</t>
  </si>
  <si>
    <t>evtorevenue</t>
  </si>
  <si>
    <t>evtoebitda</t>
  </si>
  <si>
    <t>Industry</t>
  </si>
  <si>
    <t>LT Growth</t>
  </si>
  <si>
    <t>TTM</t>
  </si>
  <si>
    <t>Ticker Symbol:</t>
  </si>
  <si>
    <t>YTD Return</t>
  </si>
  <si>
    <t>3M Return</t>
  </si>
  <si>
    <t>1YR Return</t>
  </si>
  <si>
    <t>Sector</t>
  </si>
  <si>
    <t>Company Name:</t>
  </si>
  <si>
    <t>Report Date:</t>
  </si>
  <si>
    <t>dilutedeps</t>
  </si>
  <si>
    <t>CFY</t>
  </si>
  <si>
    <t>NFY</t>
  </si>
  <si>
    <t>5 Yr Ave</t>
  </si>
  <si>
    <t>Avg Daily Vol (3m)</t>
  </si>
  <si>
    <t>52_week_high</t>
  </si>
  <si>
    <t>52_week_low</t>
  </si>
  <si>
    <t>Trend</t>
  </si>
  <si>
    <t>Revenue</t>
  </si>
  <si>
    <t>5 Yr CAGR</t>
  </si>
  <si>
    <t>Price / Earnings</t>
  </si>
  <si>
    <t>Price / Revenue</t>
  </si>
  <si>
    <t>Price / Book</t>
  </si>
  <si>
    <t>EV / EBITDA</t>
  </si>
  <si>
    <t>EV / Revenue</t>
  </si>
  <si>
    <t>EV / FCFF</t>
  </si>
  <si>
    <t>EPS</t>
  </si>
  <si>
    <t>revenuegrowth</t>
  </si>
  <si>
    <t>ebitdagrowth</t>
  </si>
  <si>
    <t>ebitgrowth</t>
  </si>
  <si>
    <t>epsgrowth</t>
  </si>
  <si>
    <t>Key Items</t>
  </si>
  <si>
    <t>Profile</t>
  </si>
  <si>
    <t>Dividend Yield (Ann)</t>
  </si>
  <si>
    <t>Key Estimates</t>
  </si>
  <si>
    <t>Earnings</t>
  </si>
  <si>
    <t>Annual</t>
  </si>
  <si>
    <t>Quarterly</t>
  </si>
  <si>
    <t>EPS - High Est.</t>
  </si>
  <si>
    <t>EPS - Low Est.</t>
  </si>
  <si>
    <t xml:space="preserve">   Y/Y Growth (%)</t>
  </si>
  <si>
    <t>Revenue - High Est.</t>
  </si>
  <si>
    <t>Revenue - Low Est.</t>
  </si>
  <si>
    <t>Revenue (M)</t>
  </si>
  <si>
    <t>Comps:</t>
  </si>
  <si>
    <t>CEO</t>
  </si>
  <si>
    <t>NOPAT</t>
  </si>
  <si>
    <t>Invested Capital</t>
  </si>
  <si>
    <t>Weighted Average Cost of Capital</t>
  </si>
  <si>
    <t>Partial Period Adjustment</t>
  </si>
  <si>
    <t>Discount Periods</t>
  </si>
  <si>
    <t xml:space="preserve">Cumulative PV of FCFF </t>
  </si>
  <si>
    <t xml:space="preserve">Indicated Value of Invested Capital </t>
  </si>
  <si>
    <t xml:space="preserve">Mid-year Adjustment Factor </t>
  </si>
  <si>
    <t xml:space="preserve">Intrinsic Value of Invested Capital </t>
  </si>
  <si>
    <t>Intrinsic Value of Equity</t>
  </si>
  <si>
    <t>Diluted Shares Outstanding</t>
  </si>
  <si>
    <t>Intrinsic Value per Share</t>
  </si>
  <si>
    <t>Current Price per Share</t>
  </si>
  <si>
    <t>MoS Score</t>
  </si>
  <si>
    <t>Capital Structure</t>
  </si>
  <si>
    <t>Cost of Capital</t>
  </si>
  <si>
    <t>Market Value
($mm)</t>
  </si>
  <si>
    <t>WACC</t>
  </si>
  <si>
    <t>Equity</t>
  </si>
  <si>
    <t>Credit Spread (bps)</t>
  </si>
  <si>
    <t>Cost of Debt, before Tax</t>
  </si>
  <si>
    <t>Marginal Tax Rate</t>
  </si>
  <si>
    <t>Equity Risk Premium (ERP)</t>
  </si>
  <si>
    <t>Risk-Free Rate (20Yr)</t>
  </si>
  <si>
    <t>Debt</t>
  </si>
  <si>
    <t xml:space="preserve">   Growth</t>
  </si>
  <si>
    <t xml:space="preserve">   Margin</t>
  </si>
  <si>
    <t xml:space="preserve">   Turnover</t>
  </si>
  <si>
    <r>
      <t xml:space="preserve">Inc / </t>
    </r>
    <r>
      <rPr>
        <b/>
        <sz val="12"/>
        <color rgb="FFFF0000"/>
        <rFont val="Trebuchet MS"/>
        <family val="2"/>
        <scheme val="minor"/>
      </rPr>
      <t>(Dec)</t>
    </r>
    <r>
      <rPr>
        <b/>
        <sz val="12"/>
        <rFont val="Trebuchet MS"/>
        <family val="2"/>
        <scheme val="minor"/>
      </rPr>
      <t xml:space="preserve"> in IC</t>
    </r>
  </si>
  <si>
    <t>FCFF</t>
  </si>
  <si>
    <t>Discounted FCFF</t>
  </si>
  <si>
    <t>Terminal Value of IC</t>
  </si>
  <si>
    <t xml:space="preserve">Less: Net Debt and Lease Obligations </t>
  </si>
  <si>
    <t>Less: Pref Stock &amp; Noncontrolling Int</t>
  </si>
  <si>
    <t>Capital 
Structure</t>
  </si>
  <si>
    <t>CSRP</t>
  </si>
  <si>
    <t>Cost of Equity</t>
  </si>
  <si>
    <t>Cost of Debt</t>
  </si>
  <si>
    <t>Operating Income</t>
  </si>
  <si>
    <t>Net Income</t>
  </si>
  <si>
    <t>Diluted EPS</t>
  </si>
  <si>
    <t>Gross Profit</t>
  </si>
  <si>
    <t xml:space="preserve">   Margin (%)</t>
  </si>
  <si>
    <t>FY</t>
  </si>
  <si>
    <t>QTR</t>
  </si>
  <si>
    <t>EBITDA</t>
  </si>
  <si>
    <t>EBIT</t>
  </si>
  <si>
    <t xml:space="preserve">PV of Terminal Value </t>
  </si>
  <si>
    <t>Projected -&gt;</t>
  </si>
  <si>
    <t>Income Metrics</t>
  </si>
  <si>
    <t>Mean</t>
  </si>
  <si>
    <t>Median</t>
  </si>
  <si>
    <t>Income Metrics - Comps</t>
  </si>
  <si>
    <t>nm</t>
  </si>
  <si>
    <t>Enterprise</t>
  </si>
  <si>
    <t>Next Earnings</t>
  </si>
  <si>
    <t>Value</t>
  </si>
  <si>
    <t>Company</t>
  </si>
  <si>
    <t>Ticker</t>
  </si>
  <si>
    <t>Employees</t>
  </si>
  <si>
    <t>Date</t>
  </si>
  <si>
    <t>Comps Overview</t>
  </si>
  <si>
    <t>(M)</t>
  </si>
  <si>
    <t>Revenue - Act/Ave Est</t>
  </si>
  <si>
    <t>EPS - Act/Ave Est</t>
  </si>
  <si>
    <t>Dividend Ex-Date</t>
  </si>
  <si>
    <t>Debt Metrics</t>
  </si>
  <si>
    <t>Short-Term Debt to Total Capital</t>
  </si>
  <si>
    <t>Long-Term Debt to Total Capital</t>
  </si>
  <si>
    <t>Preferred Equity to Total Capital</t>
  </si>
  <si>
    <t>Noncontrolling Interests to Total Capital</t>
  </si>
  <si>
    <t>Common Equity to Total Capital</t>
  </si>
  <si>
    <t>Capital Structure:</t>
  </si>
  <si>
    <t>stdebttocap</t>
  </si>
  <si>
    <t>ltdebttocap</t>
  </si>
  <si>
    <t>preferredtocap</t>
  </si>
  <si>
    <t>noncontrolinttocap</t>
  </si>
  <si>
    <t>commontocap</t>
  </si>
  <si>
    <t>debttoebitda</t>
  </si>
  <si>
    <t>netdebttoebitda</t>
  </si>
  <si>
    <t>Debt to EBITDA</t>
  </si>
  <si>
    <t>Net Debt to EBITDA</t>
  </si>
  <si>
    <t>Solvency:</t>
  </si>
  <si>
    <t>EBIT to Int Exp</t>
  </si>
  <si>
    <t>EBIT Less CapEx to Int Exp</t>
  </si>
  <si>
    <t>Terminal NOPAT Multiple</t>
  </si>
  <si>
    <t>Discounted Cash Flow Valuation</t>
  </si>
  <si>
    <t>Leverage:</t>
  </si>
  <si>
    <t>Debt to Equity</t>
  </si>
  <si>
    <t>debttoequity</t>
  </si>
  <si>
    <t>ROIC Disaggregation:</t>
  </si>
  <si>
    <t>NOPAT Margin</t>
  </si>
  <si>
    <t>x Invested Capital Turnover</t>
  </si>
  <si>
    <t>nopatmargin</t>
  </si>
  <si>
    <t>investedcapitalturnover</t>
  </si>
  <si>
    <t>roic</t>
  </si>
  <si>
    <t>Company URL</t>
  </si>
  <si>
    <t>ROE Disaggregation:</t>
  </si>
  <si>
    <t>Net Nonoperating Expense Percent</t>
  </si>
  <si>
    <t>ROIC-NNEP Spread</t>
  </si>
  <si>
    <t>x Financial Leverage</t>
  </si>
  <si>
    <t>= Return on Net Nonoperating Assets (RNNOA)</t>
  </si>
  <si>
    <t>Return on Equity (ROE) = ROIC + RNNOA</t>
  </si>
  <si>
    <t>= Return on Invested Capital (ROIC)</t>
  </si>
  <si>
    <t>Days Sales Outstanding (DSO)</t>
  </si>
  <si>
    <t>- Days Payable Outstanding (DPO)</t>
  </si>
  <si>
    <t>+ Days Inventory Outstanding (DIO)</t>
  </si>
  <si>
    <t>= Cash Conversion Cycle (CCC)</t>
  </si>
  <si>
    <t>Cash Conversion Cycle:</t>
  </si>
  <si>
    <t>Liquidity:</t>
  </si>
  <si>
    <t>Current Ratio</t>
  </si>
  <si>
    <t>Quick Ratio</t>
  </si>
  <si>
    <t>Debt-free, Cash-free NWC to Revenue</t>
  </si>
  <si>
    <t>Debt-free NWC to Revenue</t>
  </si>
  <si>
    <t>NWC to Revenue</t>
  </si>
  <si>
    <t>Net Working Capital &amp; Liquidity Metrics</t>
  </si>
  <si>
    <t>Debt Metrics - Comps</t>
  </si>
  <si>
    <t>Net Working Capital Metrics - Comps</t>
  </si>
  <si>
    <t>ROIC / ROE Metrics - Comps</t>
  </si>
  <si>
    <t>ROIC / ROE Metrics</t>
  </si>
  <si>
    <t>HQ Address</t>
  </si>
  <si>
    <t>Profit Margin</t>
  </si>
  <si>
    <t>netincomegrowth</t>
  </si>
  <si>
    <t>Next Earnings Date</t>
  </si>
  <si>
    <t>nnep</t>
  </si>
  <si>
    <t>roicnnepspread</t>
  </si>
  <si>
    <t>finleverage</t>
  </si>
  <si>
    <t>rnnoa</t>
  </si>
  <si>
    <t>dso</t>
  </si>
  <si>
    <t>dio</t>
  </si>
  <si>
    <t>dpo</t>
  </si>
  <si>
    <t>ccc</t>
  </si>
  <si>
    <t>currentratio</t>
  </si>
  <si>
    <t>quickratio</t>
  </si>
  <si>
    <t>dfcfnwctorev</t>
  </si>
  <si>
    <t>dfnwctorev</t>
  </si>
  <si>
    <t>nwctorev</t>
  </si>
  <si>
    <t>ebittointerestex</t>
  </si>
  <si>
    <t>ebitlesscapextointerestex</t>
  </si>
  <si>
    <t>Chart Date</t>
  </si>
  <si>
    <t>AAPL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</si>
</sst>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5" formatCode="&quot;$&quot;#,##0_);\(&quot;$&quot;#,##0\)"/>
    <numFmt numFmtId="42" formatCode="_(&quot;$&quot;* #,##0_);_(&quot;$&quot;* \(#,##0\);_(&quot;$&quot;* &quot;-&quot;_);_(@_)"/>
    <numFmt numFmtId="41" formatCode="_(* #,##0_);_(* \(#,##0\);_(* &quot;-&quot;_);_(@_)"/>
    <numFmt numFmtId="43" formatCode="_(* #,##0.00_);_(* \(#,##0.00\);_(* &quot;-&quot;??_);_(@_)"/>
    <numFmt numFmtId="164" formatCode="_-&quot;$&quot;* #,##0.00_-;\-&quot;$&quot;* #,##0.00_-;_-&quot;$&quot;* &quot;-&quot;??_-;_-@_-"/>
    <numFmt numFmtId="165" formatCode="mm\-dd\-yyyy"/>
    <numFmt numFmtId="166" formatCode="yyyy"/>
    <numFmt numFmtId="167" formatCode="&quot;$&quot;#,##0.00"/>
    <numFmt numFmtId="168" formatCode="yyyy\-mm\-dd"/>
    <numFmt numFmtId="169" formatCode="0.0\x"/>
    <numFmt numFmtId="170" formatCode="0.0%"/>
    <numFmt numFmtId="171" formatCode="0.0"/>
    <numFmt numFmtId="172" formatCode="&quot;$&quot;#,##0"/>
    <numFmt numFmtId="173" formatCode="[$-409]m/d/yy\ h:mm\ AM/PM;@"/>
    <numFmt numFmtId="174" formatCode="_(&quot;$&quot;* #,##0.0_);_(&quot;$&quot;* \(#,##0.0\);_(&quot;$&quot;* &quot;-&quot;??_);_(@_)"/>
    <numFmt numFmtId="175" formatCode="0.000"/>
    <numFmt numFmtId="176" formatCode="#,##0.000;[Red]#,##0.000"/>
    <numFmt numFmtId="177" formatCode="0.00\x"/>
    <numFmt numFmtId="178" formatCode="_(&quot;$&quot;* #,##0_);_(&quot;$&quot;* \(#,##0\);_(&quot;$&quot;* &quot;-&quot;??_);_(@_)"/>
    <numFmt numFmtId="179" formatCode="_(&quot;$&quot;* #,##0_);_(&quot;$&quot;* \(#,##0\);_(&quot;$&quot;* &quot;-&quot;?_);_(@_)"/>
    <numFmt numFmtId="180" formatCode="_(* #,##0_);_(* \(#,##0\);_(* &quot;-&quot;?_);_(@_)"/>
    <numFmt numFmtId="181" formatCode="[$-F400]h:mm:ss\ AM/PM"/>
    <numFmt numFmtId="182" formatCode="_(* #,##0_);_(* \(#,##0\);_(* &quot;-&quot;??_);_(@_)"/>
    <numFmt numFmtId="183" formatCode="* _(&quot;$&quot;#,##0_);* \(&quot;$&quot;#,##0\);* _(&quot;-&quot;?_);_(@_)"/>
  </numFmts>
  <fonts count="29" x14ac:knownFonts="1">
    <font>
      <sz val="11"/>
      <color theme="1"/>
      <name val="Trebuchet MS"/>
      <family val="2"/>
      <scheme val="minor"/>
    </font>
    <font>
      <b/>
      <sz val="11"/>
      <color theme="1"/>
      <name val="Trebuchet MS"/>
      <family val="2"/>
      <scheme val="minor"/>
    </font>
    <font>
      <sz val="11"/>
      <color theme="1"/>
      <name val="Trebuchet MS"/>
      <family val="2"/>
      <scheme val="minor"/>
    </font>
    <font>
      <b/>
      <sz val="12"/>
      <color theme="1"/>
      <name val="Trebuchet MS"/>
      <family val="2"/>
      <scheme val="minor"/>
    </font>
    <font>
      <sz val="12"/>
      <color theme="1"/>
      <name val="Trebuchet MS"/>
      <family val="2"/>
      <scheme val="minor"/>
    </font>
    <font>
      <b/>
      <sz val="12"/>
      <color theme="0"/>
      <name val="Trebuchet MS"/>
      <family val="2"/>
      <scheme val="minor"/>
    </font>
    <font>
      <b/>
      <sz val="12"/>
      <name val="Trebuchet MS"/>
      <family val="2"/>
      <scheme val="minor"/>
    </font>
    <font>
      <b/>
      <sz val="11"/>
      <color rgb="FF0070C0"/>
      <name val="Trebuchet MS"/>
      <family val="2"/>
      <scheme val="minor"/>
    </font>
    <font>
      <sz val="11"/>
      <color rgb="FF0070C0"/>
      <name val="Trebuchet MS"/>
      <family val="2"/>
      <scheme val="minor"/>
    </font>
    <font>
      <sz val="10"/>
      <name val="Trebuchet MS"/>
      <family val="2"/>
      <scheme val="minor"/>
    </font>
    <font>
      <sz val="10"/>
      <color indexed="8"/>
      <name val="Trebuchet MS"/>
      <family val="2"/>
      <scheme val="minor"/>
    </font>
    <font>
      <i/>
      <sz val="12"/>
      <color indexed="8"/>
      <name val="Trebuchet MS"/>
      <family val="2"/>
      <scheme val="minor"/>
    </font>
    <font>
      <b/>
      <sz val="12"/>
      <color indexed="8"/>
      <name val="Trebuchet MS"/>
      <family val="2"/>
      <scheme val="minor"/>
    </font>
    <font>
      <sz val="12"/>
      <name val="Trebuchet MS"/>
      <family val="2"/>
      <scheme val="minor"/>
    </font>
    <font>
      <i/>
      <sz val="12"/>
      <name val="Trebuchet MS"/>
      <family val="2"/>
      <scheme val="minor"/>
    </font>
    <font>
      <i/>
      <sz val="12"/>
      <color theme="1"/>
      <name val="Trebuchet MS"/>
      <family val="2"/>
      <scheme val="minor"/>
    </font>
    <font>
      <b/>
      <sz val="12"/>
      <color rgb="FFFF0000"/>
      <name val="Trebuchet MS"/>
      <family val="2"/>
      <scheme val="minor"/>
    </font>
    <font>
      <sz val="11"/>
      <name val="Trebuchet MS"/>
      <family val="2"/>
      <scheme val="minor"/>
    </font>
    <font>
      <b/>
      <sz val="16"/>
      <name val="Trebuchet MS"/>
      <family val="2"/>
      <scheme val="minor"/>
    </font>
    <font>
      <b/>
      <sz val="18"/>
      <color theme="1"/>
      <name val="Trebuchet MS"/>
      <family val="2"/>
      <scheme val="minor"/>
    </font>
    <font>
      <sz val="14"/>
      <name val="Trebuchet MS"/>
      <family val="2"/>
      <scheme val="minor"/>
    </font>
    <font>
      <b/>
      <sz val="14"/>
      <color theme="1"/>
      <name val="Trebuchet MS"/>
      <family val="2"/>
      <scheme val="minor"/>
    </font>
    <font>
      <b/>
      <i/>
      <sz val="12"/>
      <name val="Trebuchet MS"/>
      <family val="2"/>
      <scheme val="minor"/>
    </font>
    <font>
      <sz val="10"/>
      <color theme="1"/>
      <name val="Trebuchet MS"/>
      <family val="2"/>
      <scheme val="minor"/>
    </font>
    <font>
      <sz val="10"/>
      <name val="Arial"/>
      <family val="2"/>
    </font>
    <font>
      <b/>
      <sz val="12"/>
      <name val="Trebuchet MS"/>
      <family val="2"/>
      <scheme val="major"/>
    </font>
    <font>
      <sz val="12"/>
      <name val="Trebuchet MS"/>
      <family val="2"/>
      <scheme val="major"/>
    </font>
    <font>
      <u/>
      <sz val="11"/>
      <color theme="5"/>
      <name val="Trebuchet MS"/>
      <family val="2"/>
      <scheme val="minor"/>
    </font>
    <font>
      <sz val="11"/>
      <color rgb="FF000000"/>
      <name val="Trebuchet MS"/>
      <family val="2"/>
    </font>
  </fonts>
  <fills count="8">
    <fill>
      <patternFill patternType="none"/>
    </fill>
    <fill>
      <patternFill patternType="gray125"/>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5" tint="0.79998168889431442"/>
        <bgColor indexed="64"/>
      </patternFill>
    </fill>
    <fill>
      <patternFill patternType="solid">
        <fgColor theme="0"/>
        <bgColor indexed="64"/>
      </patternFill>
    </fill>
    <fill>
      <patternFill patternType="solid">
        <fgColor theme="4"/>
        <bgColor indexed="64"/>
      </patternFill>
    </fill>
  </fills>
  <borders count="90">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thin">
        <color theme="4" tint="0.39997558519241921"/>
      </top>
      <bottom/>
      <diagonal/>
    </border>
    <border>
      <left style="thin">
        <color theme="4" tint="0.39991454817346722"/>
      </left>
      <right/>
      <top style="thin">
        <color theme="4" tint="0.39991454817346722"/>
      </top>
      <bottom style="thin">
        <color theme="4" tint="0.39991454817346722"/>
      </bottom>
      <diagonal/>
    </border>
    <border>
      <left/>
      <right/>
      <top style="thin">
        <color theme="4" tint="0.39991454817346722"/>
      </top>
      <bottom style="thin">
        <color theme="4" tint="0.39991454817346722"/>
      </bottom>
      <diagonal/>
    </border>
    <border>
      <left/>
      <right style="thin">
        <color theme="4" tint="0.39991454817346722"/>
      </right>
      <top style="thin">
        <color theme="4" tint="0.39991454817346722"/>
      </top>
      <bottom style="thin">
        <color theme="4" tint="0.39991454817346722"/>
      </bottom>
      <diagonal/>
    </border>
    <border>
      <left style="thin">
        <color theme="4" tint="0.39994506668294322"/>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1454817346722"/>
      </left>
      <right/>
      <top/>
      <bottom/>
      <diagonal/>
    </border>
    <border>
      <left/>
      <right style="thin">
        <color theme="4" tint="0.39991454817346722"/>
      </right>
      <top/>
      <bottom/>
      <diagonal/>
    </border>
    <border>
      <left style="thin">
        <color theme="4" tint="0.39991454817346722"/>
      </left>
      <right/>
      <top style="thin">
        <color theme="4" tint="0.39997558519241921"/>
      </top>
      <bottom/>
      <diagonal/>
    </border>
    <border>
      <left/>
      <right style="thin">
        <color theme="4" tint="0.39991454817346722"/>
      </right>
      <top style="thin">
        <color theme="4" tint="0.39997558519241921"/>
      </top>
      <bottom/>
      <diagonal/>
    </border>
    <border>
      <left style="thin">
        <color theme="4" tint="0.39991454817346722"/>
      </left>
      <right/>
      <top style="thin">
        <color theme="4" tint="0.39997558519241921"/>
      </top>
      <bottom style="thin">
        <color theme="4" tint="0.39991454817346722"/>
      </bottom>
      <diagonal/>
    </border>
    <border>
      <left/>
      <right/>
      <top style="thin">
        <color theme="4" tint="0.39997558519241921"/>
      </top>
      <bottom style="thin">
        <color theme="4" tint="0.39991454817346722"/>
      </bottom>
      <diagonal/>
    </border>
    <border>
      <left/>
      <right style="thin">
        <color theme="4" tint="0.39991454817346722"/>
      </right>
      <top style="thin">
        <color theme="4" tint="0.39997558519241921"/>
      </top>
      <bottom style="thin">
        <color theme="4" tint="0.39991454817346722"/>
      </bottom>
      <diagonal/>
    </border>
    <border>
      <left style="thin">
        <color theme="4" tint="0.39988402966399123"/>
      </left>
      <right/>
      <top style="thin">
        <color theme="4" tint="0.39988402966399123"/>
      </top>
      <bottom/>
      <diagonal/>
    </border>
    <border>
      <left/>
      <right/>
      <top style="thin">
        <color theme="4" tint="0.39988402966399123"/>
      </top>
      <bottom/>
      <diagonal/>
    </border>
    <border>
      <left/>
      <right style="thin">
        <color theme="4" tint="0.39988402966399123"/>
      </right>
      <top style="thin">
        <color theme="4" tint="0.39988402966399123"/>
      </top>
      <bottom/>
      <diagonal/>
    </border>
    <border>
      <left style="thin">
        <color theme="4" tint="0.39988402966399123"/>
      </left>
      <right/>
      <top style="thin">
        <color theme="4" tint="0.39991454817346722"/>
      </top>
      <bottom style="thin">
        <color theme="4" tint="0.39991454817346722"/>
      </bottom>
      <diagonal/>
    </border>
    <border>
      <left/>
      <right style="thin">
        <color theme="4" tint="0.39988402966399123"/>
      </right>
      <top style="thin">
        <color theme="4" tint="0.39991454817346722"/>
      </top>
      <bottom style="thin">
        <color theme="4" tint="0.39991454817346722"/>
      </bottom>
      <diagonal/>
    </border>
    <border>
      <left style="thin">
        <color theme="4" tint="0.39988402966399123"/>
      </left>
      <right/>
      <top style="thin">
        <color theme="4" tint="0.39991454817346722"/>
      </top>
      <bottom style="thin">
        <color theme="4" tint="0.39988402966399123"/>
      </bottom>
      <diagonal/>
    </border>
    <border>
      <left/>
      <right/>
      <top style="thin">
        <color theme="4" tint="0.39991454817346722"/>
      </top>
      <bottom style="thin">
        <color theme="4" tint="0.39988402966399123"/>
      </bottom>
      <diagonal/>
    </border>
    <border>
      <left/>
      <right style="thin">
        <color theme="4" tint="0.39988402966399123"/>
      </right>
      <top style="thin">
        <color theme="4" tint="0.39991454817346722"/>
      </top>
      <bottom style="thin">
        <color theme="4" tint="0.39988402966399123"/>
      </bottom>
      <diagonal/>
    </border>
    <border>
      <left style="thin">
        <color theme="4" tint="0.39988402966399123"/>
      </left>
      <right/>
      <top/>
      <bottom style="thin">
        <color theme="4" tint="0.39988402966399123"/>
      </bottom>
      <diagonal/>
    </border>
    <border>
      <left/>
      <right/>
      <top/>
      <bottom style="thin">
        <color theme="4" tint="0.39988402966399123"/>
      </bottom>
      <diagonal/>
    </border>
    <border>
      <left/>
      <right style="thin">
        <color theme="4" tint="0.39988402966399123"/>
      </right>
      <top/>
      <bottom style="thin">
        <color theme="4" tint="0.39988402966399123"/>
      </bottom>
      <diagonal/>
    </border>
    <border>
      <left style="thin">
        <color theme="4" tint="0.39988402966399123"/>
      </left>
      <right/>
      <top/>
      <bottom style="thin">
        <color theme="4" tint="0.39991454817346722"/>
      </bottom>
      <diagonal/>
    </border>
    <border>
      <left/>
      <right/>
      <top/>
      <bottom style="thin">
        <color theme="4" tint="0.39991454817346722"/>
      </bottom>
      <diagonal/>
    </border>
    <border>
      <left/>
      <right style="thin">
        <color theme="4" tint="0.39988402966399123"/>
      </right>
      <top/>
      <bottom style="thin">
        <color theme="4" tint="0.39991454817346722"/>
      </bottom>
      <diagonal/>
    </border>
    <border>
      <left style="thin">
        <color theme="4" tint="0.39985351115451523"/>
      </left>
      <right/>
      <top style="thin">
        <color theme="4" tint="0.39985351115451523"/>
      </top>
      <bottom/>
      <diagonal/>
    </border>
    <border>
      <left/>
      <right/>
      <top style="thin">
        <color theme="4" tint="0.39985351115451523"/>
      </top>
      <bottom/>
      <diagonal/>
    </border>
    <border>
      <left/>
      <right style="thin">
        <color theme="4" tint="0.39985351115451523"/>
      </right>
      <top style="thin">
        <color theme="4" tint="0.39985351115451523"/>
      </top>
      <bottom/>
      <diagonal/>
    </border>
    <border>
      <left style="thin">
        <color theme="4" tint="0.39985351115451523"/>
      </left>
      <right/>
      <top/>
      <bottom style="thin">
        <color theme="4" tint="0.39985351115451523"/>
      </bottom>
      <diagonal/>
    </border>
    <border>
      <left/>
      <right/>
      <top/>
      <bottom style="thin">
        <color theme="4" tint="0.39985351115451523"/>
      </bottom>
      <diagonal/>
    </border>
    <border>
      <left/>
      <right style="thin">
        <color theme="4" tint="0.39985351115451523"/>
      </right>
      <top/>
      <bottom style="thin">
        <color theme="4" tint="0.39985351115451523"/>
      </bottom>
      <diagonal/>
    </border>
    <border>
      <left style="thin">
        <color theme="4" tint="0.39982299264503923"/>
      </left>
      <right/>
      <top style="thin">
        <color theme="4" tint="0.39982299264503923"/>
      </top>
      <bottom style="thin">
        <color theme="4" tint="0.39982299264503923"/>
      </bottom>
      <diagonal/>
    </border>
    <border>
      <left/>
      <right/>
      <top style="thin">
        <color theme="4" tint="0.39982299264503923"/>
      </top>
      <bottom style="thin">
        <color theme="4" tint="0.39982299264503923"/>
      </bottom>
      <diagonal/>
    </border>
    <border>
      <left/>
      <right style="thin">
        <color theme="4" tint="0.39982299264503923"/>
      </right>
      <top style="thin">
        <color theme="4" tint="0.39982299264503923"/>
      </top>
      <bottom style="thin">
        <color theme="4" tint="0.39982299264503923"/>
      </bottom>
      <diagonal/>
    </border>
    <border>
      <left style="thin">
        <color theme="4" tint="0.39994506668294322"/>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1454817346722"/>
      </left>
      <right/>
      <top/>
      <bottom style="thin">
        <color theme="4" tint="0.39991454817346722"/>
      </bottom>
      <diagonal/>
    </border>
    <border>
      <left style="thin">
        <color theme="4" tint="0.39985351115451523"/>
      </left>
      <right/>
      <top style="thin">
        <color theme="4" tint="0.39988402966399123"/>
      </top>
      <bottom/>
      <diagonal/>
    </border>
    <border>
      <left/>
      <right style="thin">
        <color theme="4" tint="0.39985351115451523"/>
      </right>
      <top style="thin">
        <color theme="4" tint="0.39988402966399123"/>
      </top>
      <bottom/>
      <diagonal/>
    </border>
    <border>
      <left style="thin">
        <color theme="4" tint="0.39985351115451523"/>
      </left>
      <right/>
      <top/>
      <bottom style="thin">
        <color theme="4" tint="0.39988402966399123"/>
      </bottom>
      <diagonal/>
    </border>
    <border>
      <left/>
      <right style="thin">
        <color theme="4" tint="0.39985351115451523"/>
      </right>
      <top/>
      <bottom style="thin">
        <color theme="4" tint="0.39988402966399123"/>
      </bottom>
      <diagonal/>
    </border>
    <border>
      <left style="thin">
        <color theme="4" tint="0.39985351115451523"/>
      </left>
      <right/>
      <top/>
      <bottom/>
      <diagonal/>
    </border>
    <border>
      <left/>
      <right style="thin">
        <color theme="4" tint="0.39985351115451523"/>
      </right>
      <top/>
      <bottom/>
      <diagonal/>
    </border>
    <border>
      <left style="thin">
        <color theme="4" tint="0.39985351115451523"/>
      </left>
      <right/>
      <top style="thin">
        <color theme="4" tint="0.39997558519241921"/>
      </top>
      <bottom style="thin">
        <color theme="4" tint="0.39991454817346722"/>
      </bottom>
      <diagonal/>
    </border>
    <border>
      <left/>
      <right style="thin">
        <color theme="4" tint="0.39985351115451523"/>
      </right>
      <top style="thin">
        <color theme="4" tint="0.39997558519241921"/>
      </top>
      <bottom style="thin">
        <color theme="4" tint="0.39991454817346722"/>
      </bottom>
      <diagonal/>
    </border>
    <border>
      <left/>
      <right style="thin">
        <color theme="4" tint="0.39982299264503923"/>
      </right>
      <top style="thin">
        <color theme="4" tint="0.39988402966399123"/>
      </top>
      <bottom/>
      <diagonal/>
    </border>
    <border>
      <left/>
      <right style="thin">
        <color theme="4" tint="0.39982299264503923"/>
      </right>
      <top/>
      <bottom style="thin">
        <color theme="4" tint="0.39988402966399123"/>
      </bottom>
      <diagonal/>
    </border>
    <border>
      <left/>
      <right style="thin">
        <color theme="4" tint="0.39982299264503923"/>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top style="thin">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right/>
      <top/>
      <bottom style="double">
        <color auto="1"/>
      </bottom>
      <diagonal/>
    </border>
    <border>
      <left style="medium">
        <color auto="1"/>
      </left>
      <right/>
      <top/>
      <bottom style="double">
        <color auto="1"/>
      </bottom>
      <diagonal/>
    </border>
    <border>
      <left/>
      <right style="medium">
        <color auto="1"/>
      </right>
      <top/>
      <bottom style="double">
        <color auto="1"/>
      </bottom>
      <diagonal/>
    </border>
    <border>
      <left/>
      <right/>
      <top/>
      <bottom style="thin">
        <color auto="1"/>
      </bottom>
      <diagonal/>
    </border>
    <border>
      <left/>
      <right/>
      <top style="thin">
        <color auto="1"/>
      </top>
      <bottom style="double">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auto="1"/>
      </right>
      <top/>
      <bottom style="medium">
        <color auto="1"/>
      </bottom>
      <diagonal/>
    </border>
    <border>
      <left/>
      <right/>
      <top style="thin">
        <color auto="1"/>
      </top>
      <bottom/>
      <diagonal/>
    </border>
    <border>
      <left/>
      <right/>
      <top style="medium">
        <color indexed="64"/>
      </top>
      <bottom style="double">
        <color indexed="64"/>
      </bottom>
      <diagonal/>
    </border>
    <border>
      <left/>
      <right/>
      <top/>
      <bottom style="hair">
        <color indexed="23"/>
      </bottom>
      <diagonal/>
    </border>
    <border>
      <left style="thin">
        <color theme="4" tint="0.39985351115451523"/>
      </left>
      <right/>
      <top style="thin">
        <color theme="4" tint="0.39988402966399123"/>
      </top>
      <bottom style="thin">
        <color theme="4" tint="0.39982299264503923"/>
      </bottom>
      <diagonal/>
    </border>
    <border>
      <left/>
      <right style="thin">
        <color theme="4" tint="0.39982299264503923"/>
      </right>
      <top style="thin">
        <color theme="4" tint="0.39988402966399123"/>
      </top>
      <bottom style="thin">
        <color theme="4" tint="0.39982299264503923"/>
      </bottom>
      <diagonal/>
    </border>
    <border>
      <left style="thin">
        <color theme="4" tint="0.39985351115451523"/>
      </left>
      <right/>
      <top style="thin">
        <color theme="4" tint="0.39982299264503923"/>
      </top>
      <bottom style="thin">
        <color theme="4" tint="0.39982299264503923"/>
      </bottom>
      <diagonal/>
    </border>
    <border>
      <left style="thin">
        <color theme="4" tint="0.39985351115451523"/>
      </left>
      <right/>
      <top style="thin">
        <color theme="4" tint="0.39982299264503923"/>
      </top>
      <bottom/>
      <diagonal/>
    </border>
    <border>
      <left style="thin">
        <color theme="4" tint="0.39985351115451523"/>
      </left>
      <right/>
      <top/>
      <bottom style="thin">
        <color theme="4" tint="0.39982299264503923"/>
      </bottom>
      <diagonal/>
    </border>
    <border>
      <left/>
      <right style="thin">
        <color theme="4" tint="0.39994506668294322"/>
      </right>
      <top style="thin">
        <color theme="4" tint="0.39997558519241921"/>
      </top>
      <bottom style="thin">
        <color theme="4" tint="0.39991454817346722"/>
      </bottom>
      <diagonal/>
    </border>
    <border>
      <left/>
      <right style="thin">
        <color theme="4" tint="0.39994506668294322"/>
      </right>
      <top style="thin">
        <color theme="4" tint="0.39988402966399123"/>
      </top>
      <bottom/>
      <diagonal/>
    </border>
    <border>
      <left/>
      <right style="thin">
        <color theme="4" tint="0.39994506668294322"/>
      </right>
      <top/>
      <bottom/>
      <diagonal/>
    </border>
    <border>
      <left/>
      <right/>
      <top style="thin">
        <color theme="4" tint="0.39988402966399123"/>
      </top>
      <bottom style="thin">
        <color theme="4" tint="0.39982299264503923"/>
      </bottom>
      <diagonal/>
    </border>
    <border>
      <left style="thin">
        <color theme="4" tint="0.39985351115451523"/>
      </left>
      <right/>
      <top style="thin">
        <color theme="4" tint="0.39982299264503923"/>
      </top>
      <bottom style="thin">
        <color theme="4" tint="0.39991454817346722"/>
      </bottom>
      <diagonal/>
    </border>
    <border>
      <left/>
      <right/>
      <top style="thin">
        <color theme="4" tint="0.39982299264503923"/>
      </top>
      <bottom style="thin">
        <color theme="4" tint="0.39991454817346722"/>
      </bottom>
      <diagonal/>
    </border>
    <border>
      <left/>
      <right/>
      <top style="thin">
        <color theme="4" tint="0.39982299264503923"/>
      </top>
      <bottom/>
      <diagonal/>
    </border>
    <border>
      <left/>
      <right/>
      <top/>
      <bottom style="thin">
        <color theme="4" tint="0.39982299264503923"/>
      </bottom>
      <diagonal/>
    </border>
  </borders>
  <cellStyleXfs count="8">
    <xf numFmtId="0" fontId="0" fillId="0" borderId="0"/>
    <xf numFmtId="16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1" fontId="9" fillId="0" borderId="0"/>
    <xf numFmtId="174" fontId="3" fillId="0" borderId="0" applyFont="0" applyFill="0" applyBorder="0" applyProtection="0">
      <protection locked="0"/>
    </xf>
    <xf numFmtId="181" fontId="24" fillId="0" borderId="0"/>
    <xf numFmtId="0" fontId="27" fillId="0" borderId="0" applyNumberFormat="0" applyFill="0" applyBorder="0" applyAlignment="0" applyProtection="0"/>
  </cellStyleXfs>
  <cellXfs count="403">
    <xf numFmtId="0" fontId="0" fillId="0" borderId="0" xfId="0"/>
    <xf numFmtId="22" fontId="0" fillId="0" borderId="0" xfId="0" applyNumberFormat="1"/>
    <xf numFmtId="14" fontId="0" fillId="0" borderId="0" xfId="0" applyNumberFormat="1"/>
    <xf numFmtId="165" fontId="0" fillId="0" borderId="0" xfId="0" applyNumberFormat="1"/>
    <xf numFmtId="164" fontId="0" fillId="0" borderId="0" xfId="1" applyFont="1"/>
    <xf numFmtId="166" fontId="0" fillId="0" borderId="0" xfId="0" applyNumberFormat="1"/>
    <xf numFmtId="10" fontId="0" fillId="0" borderId="0" xfId="2" applyNumberFormat="1" applyFont="1"/>
    <xf numFmtId="0" fontId="0" fillId="0" borderId="0" xfId="0" applyAlignment="1">
      <alignment vertical="top"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1" applyNumberFormat="1" applyFont="1"/>
    <xf numFmtId="2" fontId="0" fillId="0" borderId="0" xfId="1" applyNumberFormat="1" applyFont="1"/>
    <xf numFmtId="168" fontId="0" fillId="0" borderId="0" xfId="0" applyNumberFormat="1"/>
    <xf numFmtId="0" fontId="0" fillId="0" borderId="0" xfId="0" applyAlignment="1">
      <alignment horizontal="left" vertical="top" wrapText="1"/>
    </xf>
    <xf numFmtId="0" fontId="0" fillId="0" borderId="0" xfId="0" applyAlignment="1">
      <alignment vertical="top" wrapText="1"/>
    </xf>
    <xf numFmtId="0" fontId="0" fillId="0" borderId="0" xfId="0"/>
    <xf numFmtId="169" fontId="0" fillId="0" borderId="0" xfId="0" applyNumberFormat="1"/>
    <xf numFmtId="170" fontId="0" fillId="0" borderId="0" xfId="0" applyNumberFormat="1"/>
    <xf numFmtId="1" fontId="0" fillId="0" borderId="0" xfId="0" applyNumberFormat="1"/>
    <xf numFmtId="0" fontId="0" fillId="0" borderId="0" xfId="0" applyAlignment="1">
      <alignment horizontal="right"/>
    </xf>
    <xf numFmtId="0" fontId="3" fillId="0" borderId="0" xfId="0" applyFont="1"/>
    <xf numFmtId="0" fontId="0" fillId="0" borderId="0" xfId="0" applyAlignment="1">
      <alignment horizontal="left"/>
    </xf>
    <xf numFmtId="0" fontId="0" fillId="0" borderId="0" xfId="0" applyFill="1" applyBorder="1"/>
    <xf numFmtId="1" fontId="0" fillId="0" borderId="0" xfId="0" applyNumberFormat="1" applyAlignment="1">
      <alignment horizontal="right"/>
    </xf>
    <xf numFmtId="0" fontId="4" fillId="0" borderId="0" xfId="0" applyFont="1"/>
    <xf numFmtId="0" fontId="4" fillId="0" borderId="0" xfId="0" applyFont="1" applyAlignment="1">
      <alignment vertical="top" wrapText="1"/>
    </xf>
    <xf numFmtId="9" fontId="4" fillId="0" borderId="0" xfId="2" applyFont="1" applyAlignment="1">
      <alignment vertical="top" wrapText="1"/>
    </xf>
    <xf numFmtId="0" fontId="4" fillId="3" borderId="3" xfId="0" applyFont="1" applyFill="1" applyBorder="1" applyAlignment="1"/>
    <xf numFmtId="0" fontId="4" fillId="0" borderId="3" xfId="0" applyFont="1" applyBorder="1" applyAlignment="1">
      <alignment wrapText="1"/>
    </xf>
    <xf numFmtId="0" fontId="4" fillId="3" borderId="3" xfId="0" applyFont="1" applyFill="1" applyBorder="1" applyAlignment="1">
      <alignment wrapText="1"/>
    </xf>
    <xf numFmtId="0" fontId="3" fillId="0" borderId="0" xfId="0" applyFont="1" applyFill="1" applyBorder="1" applyAlignment="1"/>
    <xf numFmtId="0" fontId="3" fillId="0" borderId="0" xfId="0" applyFont="1" applyFill="1" applyBorder="1" applyAlignment="1">
      <alignment horizontal="center"/>
    </xf>
    <xf numFmtId="171" fontId="4" fillId="0" borderId="3" xfId="0" applyNumberFormat="1" applyFont="1" applyBorder="1" applyAlignment="1">
      <alignment horizontal="center" wrapText="1"/>
    </xf>
    <xf numFmtId="171" fontId="4" fillId="3" borderId="3" xfId="0" applyNumberFormat="1" applyFont="1" applyFill="1" applyBorder="1" applyAlignment="1">
      <alignment horizontal="center" wrapText="1"/>
    </xf>
    <xf numFmtId="0" fontId="4" fillId="3" borderId="5" xfId="0" applyFont="1" applyFill="1" applyBorder="1" applyAlignment="1"/>
    <xf numFmtId="170" fontId="4" fillId="3" borderId="5" xfId="2" applyNumberFormat="1" applyFont="1" applyFill="1" applyBorder="1" applyAlignment="1">
      <alignment horizontal="center"/>
    </xf>
    <xf numFmtId="0" fontId="4" fillId="0" borderId="5" xfId="0" applyFont="1" applyBorder="1" applyAlignment="1">
      <alignment wrapText="1"/>
    </xf>
    <xf numFmtId="170" fontId="4" fillId="0" borderId="5" xfId="2" applyNumberFormat="1" applyFont="1" applyBorder="1" applyAlignment="1">
      <alignment horizontal="center" wrapText="1"/>
    </xf>
    <xf numFmtId="0" fontId="4" fillId="3" borderId="7" xfId="0" applyFont="1" applyFill="1" applyBorder="1" applyAlignment="1"/>
    <xf numFmtId="0" fontId="4" fillId="0" borderId="7" xfId="0" applyFont="1" applyBorder="1" applyAlignment="1"/>
    <xf numFmtId="167" fontId="4" fillId="0" borderId="8" xfId="1" applyNumberFormat="1" applyFont="1" applyBorder="1" applyAlignment="1">
      <alignment horizontal="right"/>
    </xf>
    <xf numFmtId="172" fontId="4" fillId="0" borderId="8" xfId="1" applyNumberFormat="1" applyFont="1" applyBorder="1" applyAlignment="1">
      <alignment horizontal="right"/>
    </xf>
    <xf numFmtId="3" fontId="4" fillId="3" borderId="8" xfId="1" applyNumberFormat="1" applyFont="1" applyFill="1" applyBorder="1" applyAlignment="1">
      <alignment horizontal="right"/>
    </xf>
    <xf numFmtId="10" fontId="4" fillId="3" borderId="8" xfId="2" applyNumberFormat="1" applyFont="1" applyFill="1" applyBorder="1" applyAlignment="1">
      <alignment horizontal="right"/>
    </xf>
    <xf numFmtId="37" fontId="4" fillId="3" borderId="8" xfId="3" applyNumberFormat="1" applyFont="1" applyFill="1" applyBorder="1" applyAlignment="1">
      <alignment wrapText="1"/>
    </xf>
    <xf numFmtId="2" fontId="4" fillId="0" borderId="8" xfId="0" applyNumberFormat="1" applyFont="1" applyBorder="1" applyAlignment="1">
      <alignment horizontal="right" wrapText="1"/>
    </xf>
    <xf numFmtId="0" fontId="0" fillId="0" borderId="0" xfId="0" applyBorder="1" applyAlignment="1">
      <alignment vertical="top" wrapText="1"/>
    </xf>
    <xf numFmtId="0" fontId="4" fillId="0" borderId="0" xfId="0" applyFont="1" applyBorder="1" applyAlignment="1">
      <alignment vertical="top" wrapText="1"/>
    </xf>
    <xf numFmtId="0" fontId="0" fillId="0" borderId="0" xfId="0" applyBorder="1" applyAlignment="1">
      <alignment horizontal="left" vertical="top" wrapText="1"/>
    </xf>
    <xf numFmtId="0" fontId="4" fillId="0" borderId="11" xfId="0" applyFont="1" applyBorder="1" applyAlignment="1"/>
    <xf numFmtId="171" fontId="4" fillId="0" borderId="12" xfId="0" applyNumberFormat="1" applyFont="1" applyBorder="1" applyAlignment="1">
      <alignment horizontal="center" wrapText="1"/>
    </xf>
    <xf numFmtId="0" fontId="4" fillId="3" borderId="11" xfId="0" applyFont="1" applyFill="1" applyBorder="1" applyAlignment="1">
      <alignment wrapText="1"/>
    </xf>
    <xf numFmtId="171" fontId="4" fillId="3" borderId="12" xfId="0" applyNumberFormat="1" applyFont="1" applyFill="1" applyBorder="1" applyAlignment="1">
      <alignment horizontal="center" wrapText="1"/>
    </xf>
    <xf numFmtId="0" fontId="4" fillId="0" borderId="13" xfId="0" applyFont="1" applyBorder="1" applyAlignment="1"/>
    <xf numFmtId="0" fontId="4" fillId="0" borderId="14" xfId="0" applyFont="1" applyBorder="1" applyAlignment="1">
      <alignment wrapText="1"/>
    </xf>
    <xf numFmtId="171" fontId="4" fillId="0" borderId="14" xfId="0" applyNumberFormat="1" applyFont="1" applyBorder="1" applyAlignment="1">
      <alignment horizontal="center" wrapText="1"/>
    </xf>
    <xf numFmtId="171" fontId="4" fillId="0" borderId="15" xfId="0" applyNumberFormat="1" applyFont="1" applyBorder="1" applyAlignment="1">
      <alignment horizontal="center" wrapText="1"/>
    </xf>
    <xf numFmtId="0" fontId="4" fillId="3" borderId="19" xfId="0" applyFont="1" applyFill="1" applyBorder="1" applyAlignment="1"/>
    <xf numFmtId="170" fontId="4" fillId="3" borderId="20" xfId="2" applyNumberFormat="1" applyFont="1" applyFill="1" applyBorder="1" applyAlignment="1">
      <alignment horizontal="center"/>
    </xf>
    <xf numFmtId="0" fontId="4" fillId="0" borderId="19" xfId="0" applyFont="1" applyBorder="1" applyAlignment="1"/>
    <xf numFmtId="170" fontId="4" fillId="0" borderId="20" xfId="2" applyNumberFormat="1" applyFont="1" applyBorder="1" applyAlignment="1">
      <alignment horizontal="center" wrapText="1"/>
    </xf>
    <xf numFmtId="0" fontId="4" fillId="3" borderId="21" xfId="0" applyFont="1" applyFill="1" applyBorder="1" applyAlignment="1"/>
    <xf numFmtId="0" fontId="4" fillId="3" borderId="22" xfId="0" applyFont="1" applyFill="1" applyBorder="1" applyAlignment="1"/>
    <xf numFmtId="170" fontId="4" fillId="3" borderId="22" xfId="2" applyNumberFormat="1" applyFont="1" applyFill="1" applyBorder="1" applyAlignment="1">
      <alignment horizontal="center"/>
    </xf>
    <xf numFmtId="170" fontId="4" fillId="3" borderId="23" xfId="2" applyNumberFormat="1" applyFont="1" applyFill="1" applyBorder="1" applyAlignment="1">
      <alignment horizontal="center"/>
    </xf>
    <xf numFmtId="0" fontId="4" fillId="3" borderId="9" xfId="0" applyFont="1" applyFill="1" applyBorder="1" applyAlignment="1"/>
    <xf numFmtId="0" fontId="4" fillId="3" borderId="0" xfId="0" applyFont="1" applyFill="1" applyBorder="1" applyAlignment="1"/>
    <xf numFmtId="171" fontId="4" fillId="3" borderId="0" xfId="0" applyNumberFormat="1" applyFont="1" applyFill="1" applyBorder="1" applyAlignment="1">
      <alignment horizontal="center"/>
    </xf>
    <xf numFmtId="171" fontId="4" fillId="3" borderId="10" xfId="0" applyNumberFormat="1" applyFont="1" applyFill="1" applyBorder="1" applyAlignment="1">
      <alignment horizontal="center"/>
    </xf>
    <xf numFmtId="0" fontId="5" fillId="4" borderId="24" xfId="0" applyFont="1" applyFill="1" applyBorder="1"/>
    <xf numFmtId="0" fontId="3" fillId="4" borderId="25" xfId="0" applyFont="1" applyFill="1" applyBorder="1" applyAlignment="1">
      <alignment horizontal="center"/>
    </xf>
    <xf numFmtId="0" fontId="3" fillId="4" borderId="26" xfId="0" applyFont="1" applyFill="1" applyBorder="1" applyAlignment="1">
      <alignment horizontal="center"/>
    </xf>
    <xf numFmtId="0" fontId="4" fillId="3" borderId="27" xfId="0" applyFont="1" applyFill="1" applyBorder="1" applyAlignment="1"/>
    <xf numFmtId="0" fontId="4" fillId="3" borderId="28" xfId="0" applyFont="1" applyFill="1" applyBorder="1" applyAlignment="1"/>
    <xf numFmtId="170" fontId="4" fillId="3" borderId="28" xfId="2" applyNumberFormat="1" applyFont="1" applyFill="1" applyBorder="1" applyAlignment="1">
      <alignment horizontal="center"/>
    </xf>
    <xf numFmtId="170" fontId="4" fillId="3" borderId="29" xfId="2" applyNumberFormat="1" applyFont="1" applyFill="1" applyBorder="1" applyAlignment="1">
      <alignment horizontal="center"/>
    </xf>
    <xf numFmtId="0" fontId="5" fillId="4" borderId="33" xfId="0" applyFont="1" applyFill="1" applyBorder="1"/>
    <xf numFmtId="0" fontId="3" fillId="4" borderId="34" xfId="0" applyFont="1" applyFill="1" applyBorder="1" applyAlignment="1">
      <alignment horizontal="center"/>
    </xf>
    <xf numFmtId="0" fontId="3" fillId="4" borderId="35" xfId="0" applyFont="1" applyFill="1" applyBorder="1" applyAlignment="1">
      <alignment horizontal="center"/>
    </xf>
    <xf numFmtId="0" fontId="4" fillId="3" borderId="36" xfId="0" applyFont="1" applyFill="1" applyBorder="1" applyAlignment="1"/>
    <xf numFmtId="0" fontId="4" fillId="3" borderId="37" xfId="0" applyFont="1" applyFill="1" applyBorder="1" applyAlignment="1"/>
    <xf numFmtId="170" fontId="4" fillId="3" borderId="37" xfId="2" applyNumberFormat="1" applyFont="1" applyFill="1" applyBorder="1" applyAlignment="1"/>
    <xf numFmtId="170" fontId="4" fillId="3" borderId="38" xfId="2" applyNumberFormat="1" applyFont="1" applyFill="1" applyBorder="1" applyAlignment="1"/>
    <xf numFmtId="0" fontId="4" fillId="0" borderId="36" xfId="0" applyFont="1" applyBorder="1" applyAlignment="1"/>
    <xf numFmtId="0" fontId="4" fillId="0" borderId="37" xfId="0" applyFont="1" applyBorder="1" applyAlignment="1">
      <alignment wrapText="1"/>
    </xf>
    <xf numFmtId="170" fontId="4" fillId="0" borderId="37" xfId="2" applyNumberFormat="1" applyFont="1" applyBorder="1" applyAlignment="1">
      <alignment wrapText="1"/>
    </xf>
    <xf numFmtId="170" fontId="4" fillId="0" borderId="38" xfId="2" applyNumberFormat="1" applyFont="1" applyBorder="1" applyAlignment="1">
      <alignment wrapText="1"/>
    </xf>
    <xf numFmtId="0" fontId="4" fillId="3" borderId="39" xfId="0" applyFont="1" applyFill="1" applyBorder="1" applyAlignment="1"/>
    <xf numFmtId="167" fontId="4" fillId="3" borderId="40" xfId="1" applyNumberFormat="1" applyFont="1" applyFill="1" applyBorder="1" applyAlignment="1">
      <alignment horizontal="right"/>
    </xf>
    <xf numFmtId="172" fontId="4" fillId="3" borderId="40" xfId="1" applyNumberFormat="1" applyFont="1" applyFill="1" applyBorder="1" applyAlignment="1">
      <alignment horizontal="right"/>
    </xf>
    <xf numFmtId="0" fontId="1" fillId="0" borderId="0" xfId="0" applyFont="1" applyAlignment="1">
      <alignment horizontal="right" indent="1"/>
    </xf>
    <xf numFmtId="0" fontId="3" fillId="0" borderId="0" xfId="0" applyFont="1" applyBorder="1"/>
    <xf numFmtId="0" fontId="4" fillId="0" borderId="2" xfId="0" applyFont="1" applyBorder="1"/>
    <xf numFmtId="172" fontId="4" fillId="0" borderId="0" xfId="1" applyNumberFormat="1" applyFont="1" applyAlignment="1">
      <alignment horizontal="left"/>
    </xf>
    <xf numFmtId="14" fontId="4" fillId="0" borderId="0" xfId="0" applyNumberFormat="1" applyFont="1" applyBorder="1"/>
    <xf numFmtId="0" fontId="4" fillId="0" borderId="0" xfId="0" applyFont="1" applyAlignment="1">
      <alignment horizontal="center"/>
    </xf>
    <xf numFmtId="167" fontId="6" fillId="0" borderId="0" xfId="1" applyNumberFormat="1" applyFont="1" applyAlignment="1">
      <alignment horizontal="left"/>
    </xf>
    <xf numFmtId="170" fontId="4" fillId="3" borderId="40" xfId="2" applyNumberFormat="1" applyFont="1" applyFill="1" applyBorder="1" applyAlignment="1">
      <alignment horizontal="right"/>
    </xf>
    <xf numFmtId="0" fontId="3" fillId="4" borderId="4" xfId="0" applyFont="1" applyFill="1" applyBorder="1" applyAlignment="1">
      <alignment vertical="center"/>
    </xf>
    <xf numFmtId="0" fontId="3" fillId="4" borderId="6" xfId="0" applyFont="1" applyFill="1" applyBorder="1" applyAlignment="1">
      <alignment vertical="center"/>
    </xf>
    <xf numFmtId="0" fontId="1" fillId="4" borderId="16" xfId="0" applyFont="1" applyFill="1" applyBorder="1" applyAlignment="1">
      <alignment vertical="center"/>
    </xf>
    <xf numFmtId="0" fontId="1" fillId="4" borderId="41" xfId="0" applyFont="1" applyFill="1" applyBorder="1" applyAlignment="1"/>
    <xf numFmtId="0" fontId="1" fillId="4" borderId="44" xfId="0" applyFont="1" applyFill="1" applyBorder="1" applyAlignment="1">
      <alignment horizontal="center"/>
    </xf>
    <xf numFmtId="0" fontId="1" fillId="4" borderId="25" xfId="0" applyFont="1" applyFill="1" applyBorder="1" applyAlignment="1">
      <alignment horizontal="center"/>
    </xf>
    <xf numFmtId="0" fontId="0" fillId="3" borderId="9" xfId="0" applyFont="1" applyFill="1" applyBorder="1" applyAlignment="1"/>
    <xf numFmtId="167" fontId="0" fillId="3" borderId="46" xfId="0" applyNumberFormat="1" applyFont="1" applyFill="1" applyBorder="1" applyAlignment="1">
      <alignment horizontal="right"/>
    </xf>
    <xf numFmtId="167" fontId="0" fillId="3" borderId="0" xfId="0" applyNumberFormat="1" applyFont="1" applyFill="1" applyBorder="1" applyAlignment="1">
      <alignment horizontal="right"/>
    </xf>
    <xf numFmtId="172" fontId="0" fillId="3" borderId="0" xfId="0" applyNumberFormat="1" applyFont="1" applyFill="1" applyBorder="1" applyAlignment="1">
      <alignment horizontal="right"/>
    </xf>
    <xf numFmtId="0" fontId="0" fillId="0" borderId="13" xfId="0" applyFont="1" applyBorder="1" applyAlignment="1"/>
    <xf numFmtId="170" fontId="0" fillId="0" borderId="48" xfId="2" applyNumberFormat="1" applyFont="1" applyBorder="1" applyAlignment="1">
      <alignment horizontal="right" wrapText="1"/>
    </xf>
    <xf numFmtId="170" fontId="0" fillId="0" borderId="14" xfId="2" applyNumberFormat="1" applyFont="1" applyBorder="1" applyAlignment="1">
      <alignment horizontal="right" wrapText="1"/>
    </xf>
    <xf numFmtId="9" fontId="0" fillId="0" borderId="48" xfId="2" applyFont="1" applyBorder="1" applyAlignment="1">
      <alignment horizontal="center" wrapText="1"/>
    </xf>
    <xf numFmtId="9" fontId="0" fillId="0" borderId="14" xfId="2" applyFont="1" applyBorder="1" applyAlignment="1">
      <alignment horizontal="center" wrapText="1"/>
    </xf>
    <xf numFmtId="172" fontId="0" fillId="3" borderId="46" xfId="0" applyNumberFormat="1" applyFont="1" applyFill="1" applyBorder="1" applyAlignment="1">
      <alignment horizontal="right"/>
    </xf>
    <xf numFmtId="0" fontId="0" fillId="0" borderId="0" xfId="0" applyFont="1" applyAlignment="1">
      <alignment vertical="top" wrapText="1"/>
    </xf>
    <xf numFmtId="0" fontId="7" fillId="4" borderId="25" xfId="0" applyFont="1" applyFill="1" applyBorder="1" applyAlignment="1">
      <alignment horizontal="center"/>
    </xf>
    <xf numFmtId="0" fontId="7" fillId="4" borderId="45" xfId="0" applyFont="1" applyFill="1" applyBorder="1" applyAlignment="1">
      <alignment horizontal="center"/>
    </xf>
    <xf numFmtId="172" fontId="8" fillId="3" borderId="0" xfId="0" applyNumberFormat="1" applyFont="1" applyFill="1" applyBorder="1" applyAlignment="1">
      <alignment horizontal="right"/>
    </xf>
    <xf numFmtId="172" fontId="8" fillId="3" borderId="47" xfId="0" applyNumberFormat="1" applyFont="1" applyFill="1" applyBorder="1" applyAlignment="1">
      <alignment horizontal="right"/>
    </xf>
    <xf numFmtId="170" fontId="8" fillId="0" borderId="14" xfId="2" applyNumberFormat="1" applyFont="1" applyBorder="1" applyAlignment="1">
      <alignment horizontal="right" wrapText="1"/>
    </xf>
    <xf numFmtId="170" fontId="8" fillId="0" borderId="49" xfId="2" applyNumberFormat="1" applyFont="1" applyBorder="1" applyAlignment="1">
      <alignment horizontal="right" wrapText="1"/>
    </xf>
    <xf numFmtId="0" fontId="7" fillId="4" borderId="51" xfId="0" applyFont="1" applyFill="1" applyBorder="1" applyAlignment="1">
      <alignment horizontal="center"/>
    </xf>
    <xf numFmtId="167" fontId="8" fillId="3" borderId="0" xfId="0" applyNumberFormat="1" applyFont="1" applyFill="1" applyBorder="1" applyAlignment="1">
      <alignment horizontal="right"/>
    </xf>
    <xf numFmtId="167" fontId="8" fillId="3" borderId="47" xfId="0" applyNumberFormat="1" applyFont="1" applyFill="1" applyBorder="1" applyAlignment="1">
      <alignment horizontal="right"/>
    </xf>
    <xf numFmtId="167" fontId="8" fillId="3" borderId="52" xfId="0" applyNumberFormat="1" applyFont="1" applyFill="1" applyBorder="1" applyAlignment="1">
      <alignment horizontal="right"/>
    </xf>
    <xf numFmtId="0" fontId="1" fillId="5" borderId="1" xfId="0" applyFont="1" applyFill="1" applyBorder="1" applyAlignment="1">
      <alignment horizontal="center"/>
    </xf>
    <xf numFmtId="0" fontId="0" fillId="5" borderId="53" xfId="0" applyFill="1" applyBorder="1" applyAlignment="1">
      <alignment horizontal="center"/>
    </xf>
    <xf numFmtId="0" fontId="0" fillId="5" borderId="54" xfId="0" applyFill="1" applyBorder="1" applyAlignment="1">
      <alignment horizontal="center"/>
    </xf>
    <xf numFmtId="0" fontId="0" fillId="5" borderId="55" xfId="0" applyFill="1" applyBorder="1" applyAlignment="1">
      <alignment horizontal="center"/>
    </xf>
    <xf numFmtId="1" fontId="13" fillId="0" borderId="0" xfId="4" applyFont="1" applyAlignment="1">
      <alignment horizontal="left"/>
    </xf>
    <xf numFmtId="1" fontId="3" fillId="0" borderId="0" xfId="4" applyFont="1"/>
    <xf numFmtId="10" fontId="3" fillId="0" borderId="0" xfId="4" applyNumberFormat="1" applyFont="1" applyProtection="1"/>
    <xf numFmtId="1" fontId="3" fillId="0" borderId="0" xfId="4" applyFont="1" applyProtection="1"/>
    <xf numFmtId="1" fontId="13" fillId="0" borderId="0" xfId="4" applyFont="1" applyAlignment="1" applyProtection="1">
      <alignment horizontal="left"/>
    </xf>
    <xf numFmtId="1" fontId="6" fillId="0" borderId="0" xfId="4" applyFont="1" applyAlignment="1" applyProtection="1">
      <alignment horizontal="right"/>
    </xf>
    <xf numFmtId="1" fontId="3" fillId="6" borderId="0" xfId="4" applyFont="1" applyFill="1" applyProtection="1"/>
    <xf numFmtId="10" fontId="4" fillId="6" borderId="0" xfId="4" applyNumberFormat="1" applyFont="1" applyFill="1" applyBorder="1" applyProtection="1"/>
    <xf numFmtId="175" fontId="4" fillId="0" borderId="0" xfId="4" applyNumberFormat="1" applyFont="1" applyBorder="1" applyProtection="1"/>
    <xf numFmtId="174" fontId="3" fillId="0" borderId="0" xfId="5" applyNumberFormat="1" applyFont="1" applyProtection="1"/>
    <xf numFmtId="1" fontId="13" fillId="0" borderId="0" xfId="4" applyFont="1" applyAlignment="1" applyProtection="1">
      <alignment horizontal="right"/>
    </xf>
    <xf numFmtId="174" fontId="3" fillId="6" borderId="0" xfId="5" applyNumberFormat="1" applyFont="1" applyFill="1" applyProtection="1"/>
    <xf numFmtId="175" fontId="4" fillId="6" borderId="0" xfId="4" applyNumberFormat="1" applyFont="1" applyFill="1" applyBorder="1" applyProtection="1">
      <protection hidden="1"/>
    </xf>
    <xf numFmtId="175" fontId="4" fillId="6" borderId="0" xfId="4" applyNumberFormat="1" applyFont="1" applyFill="1" applyProtection="1">
      <protection hidden="1"/>
    </xf>
    <xf numFmtId="174" fontId="3" fillId="0" borderId="0" xfId="5" applyFont="1" applyProtection="1"/>
    <xf numFmtId="0" fontId="17" fillId="0" borderId="0" xfId="4" applyNumberFormat="1" applyFont="1" applyFill="1" applyBorder="1" applyAlignment="1" applyProtection="1">
      <alignment vertical="top"/>
    </xf>
    <xf numFmtId="174" fontId="6" fillId="0" borderId="0" xfId="4" applyNumberFormat="1" applyFont="1" applyFill="1" applyBorder="1" applyAlignment="1" applyProtection="1">
      <alignment vertical="top"/>
    </xf>
    <xf numFmtId="176" fontId="3" fillId="0" borderId="68" xfId="4" applyNumberFormat="1" applyFont="1" applyBorder="1" applyProtection="1"/>
    <xf numFmtId="177" fontId="14" fillId="0" borderId="0" xfId="4" applyNumberFormat="1" applyFont="1" applyFill="1" applyBorder="1" applyAlignment="1" applyProtection="1">
      <alignment horizontal="right" vertical="top"/>
    </xf>
    <xf numFmtId="1" fontId="9" fillId="0" borderId="0" xfId="4" applyAlignment="1" applyProtection="1">
      <alignment horizontal="right"/>
    </xf>
    <xf numFmtId="5" fontId="3" fillId="0" borderId="0" xfId="4" applyNumberFormat="1" applyFont="1" applyProtection="1"/>
    <xf numFmtId="37" fontId="3" fillId="0" borderId="0" xfId="4" applyNumberFormat="1" applyFont="1" applyAlignment="1" applyProtection="1">
      <alignment horizontal="center"/>
    </xf>
    <xf numFmtId="167" fontId="19" fillId="0" borderId="69" xfId="4" applyNumberFormat="1" applyFont="1" applyBorder="1" applyAlignment="1" applyProtection="1">
      <alignment horizontal="center"/>
    </xf>
    <xf numFmtId="167" fontId="3" fillId="0" borderId="0" xfId="4" applyNumberFormat="1" applyFont="1" applyBorder="1" applyAlignment="1" applyProtection="1">
      <alignment horizontal="center"/>
    </xf>
    <xf numFmtId="0" fontId="13" fillId="0" borderId="0" xfId="4" applyNumberFormat="1" applyFont="1" applyFill="1" applyBorder="1" applyAlignment="1" applyProtection="1">
      <alignment horizontal="right" vertical="top"/>
    </xf>
    <xf numFmtId="167" fontId="21" fillId="0" borderId="0" xfId="4" applyNumberFormat="1" applyFont="1" applyBorder="1" applyAlignment="1" applyProtection="1">
      <alignment horizontal="center"/>
    </xf>
    <xf numFmtId="1" fontId="20" fillId="0" borderId="0" xfId="4" applyFont="1" applyProtection="1"/>
    <xf numFmtId="1" fontId="18" fillId="0" borderId="0" xfId="4" applyFont="1" applyAlignment="1" applyProtection="1">
      <alignment horizontal="center"/>
    </xf>
    <xf numFmtId="1" fontId="18" fillId="6" borderId="0" xfId="4" applyNumberFormat="1" applyFont="1" applyFill="1" applyBorder="1" applyAlignment="1" applyProtection="1">
      <alignment horizontal="center" vertical="center"/>
    </xf>
    <xf numFmtId="174" fontId="3" fillId="6" borderId="0" xfId="5" applyNumberFormat="1" applyFont="1" applyFill="1" applyBorder="1" applyProtection="1"/>
    <xf numFmtId="16" fontId="11" fillId="0" borderId="0" xfId="4" applyNumberFormat="1" applyFont="1" applyFill="1"/>
    <xf numFmtId="1" fontId="12" fillId="0" borderId="0" xfId="4" applyFont="1" applyFill="1" applyBorder="1" applyAlignment="1">
      <alignment horizontal="center"/>
    </xf>
    <xf numFmtId="1" fontId="3" fillId="0" borderId="0" xfId="4" applyFont="1" applyFill="1" applyBorder="1"/>
    <xf numFmtId="174" fontId="3" fillId="0" borderId="0" xfId="4" applyNumberFormat="1" applyFont="1" applyFill="1" applyBorder="1" applyAlignment="1" applyProtection="1">
      <alignment horizontal="right"/>
    </xf>
    <xf numFmtId="10" fontId="15" fillId="0" borderId="0" xfId="4" applyNumberFormat="1" applyFont="1" applyFill="1" applyBorder="1" applyAlignment="1" applyProtection="1">
      <alignment horizontal="right"/>
    </xf>
    <xf numFmtId="10" fontId="3" fillId="0" borderId="0" xfId="4" applyNumberFormat="1" applyFont="1" applyFill="1" applyBorder="1" applyAlignment="1" applyProtection="1">
      <alignment horizontal="right"/>
    </xf>
    <xf numFmtId="174" fontId="3" fillId="0" borderId="0" xfId="5" applyFont="1" applyFill="1" applyBorder="1" applyAlignment="1" applyProtection="1">
      <alignment horizontal="right"/>
    </xf>
    <xf numFmtId="2" fontId="15" fillId="0" borderId="0" xfId="4" applyNumberFormat="1" applyFont="1" applyFill="1" applyBorder="1" applyAlignment="1" applyProtection="1">
      <alignment horizontal="right"/>
    </xf>
    <xf numFmtId="1" fontId="3" fillId="0" borderId="0" xfId="4" applyFont="1" applyFill="1" applyBorder="1" applyAlignment="1" applyProtection="1">
      <alignment horizontal="right"/>
    </xf>
    <xf numFmtId="174" fontId="3" fillId="0" borderId="0" xfId="5" applyNumberFormat="1" applyFont="1" applyFill="1" applyBorder="1" applyAlignment="1" applyProtection="1">
      <alignment horizontal="right"/>
    </xf>
    <xf numFmtId="1" fontId="3" fillId="0" borderId="57" xfId="4" applyFont="1" applyFill="1" applyBorder="1" applyAlignment="1">
      <alignment horizontal="left"/>
    </xf>
    <xf numFmtId="1" fontId="3" fillId="0" borderId="58" xfId="4" applyFont="1" applyFill="1" applyBorder="1"/>
    <xf numFmtId="1" fontId="3" fillId="0" borderId="59" xfId="4" applyFont="1" applyFill="1" applyBorder="1"/>
    <xf numFmtId="10" fontId="3" fillId="0" borderId="60" xfId="4" applyNumberFormat="1" applyFont="1" applyFill="1" applyBorder="1" applyAlignment="1" applyProtection="1">
      <alignment horizontal="right"/>
    </xf>
    <xf numFmtId="10" fontId="3" fillId="0" borderId="61" xfId="4" applyNumberFormat="1" applyFont="1" applyFill="1" applyBorder="1" applyAlignment="1" applyProtection="1">
      <alignment horizontal="right"/>
    </xf>
    <xf numFmtId="1" fontId="3" fillId="0" borderId="60" xfId="4" applyFont="1" applyFill="1" applyBorder="1" applyAlignment="1" applyProtection="1">
      <alignment horizontal="right"/>
    </xf>
    <xf numFmtId="1" fontId="3" fillId="0" borderId="61" xfId="4" applyFont="1" applyFill="1" applyBorder="1" applyAlignment="1" applyProtection="1">
      <alignment horizontal="right"/>
    </xf>
    <xf numFmtId="10" fontId="13" fillId="6" borderId="0" xfId="4" applyNumberFormat="1" applyFont="1" applyFill="1" applyBorder="1" applyAlignment="1">
      <alignment horizontal="center"/>
    </xf>
    <xf numFmtId="41" fontId="13" fillId="6" borderId="0" xfId="5" applyNumberFormat="1" applyFont="1" applyFill="1" applyBorder="1" applyProtection="1"/>
    <xf numFmtId="0" fontId="13" fillId="6" borderId="0" xfId="4" applyNumberFormat="1" applyFont="1" applyFill="1" applyBorder="1"/>
    <xf numFmtId="10" fontId="6" fillId="6" borderId="0" xfId="4" applyNumberFormat="1" applyFont="1" applyFill="1" applyBorder="1" applyAlignment="1">
      <alignment horizontal="center"/>
    </xf>
    <xf numFmtId="10" fontId="13" fillId="6" borderId="0" xfId="2" applyNumberFormat="1" applyFont="1" applyFill="1" applyBorder="1" applyAlignment="1">
      <alignment horizontal="center" vertical="center" wrapText="1"/>
    </xf>
    <xf numFmtId="10" fontId="13" fillId="6" borderId="0" xfId="4" applyNumberFormat="1" applyFont="1" applyFill="1" applyBorder="1" applyAlignment="1" applyProtection="1">
      <alignment horizontal="center"/>
    </xf>
    <xf numFmtId="10" fontId="13" fillId="6" borderId="68" xfId="4" applyNumberFormat="1" applyFont="1" applyFill="1" applyBorder="1" applyAlignment="1" applyProtection="1">
      <alignment horizontal="center"/>
    </xf>
    <xf numFmtId="10" fontId="6" fillId="6" borderId="69" xfId="4" applyNumberFormat="1" applyFont="1" applyFill="1" applyBorder="1" applyAlignment="1" applyProtection="1">
      <alignment horizontal="center"/>
    </xf>
    <xf numFmtId="0" fontId="13" fillId="0" borderId="0" xfId="4" applyNumberFormat="1" applyFont="1" applyFill="1" applyBorder="1" applyAlignment="1" applyProtection="1">
      <alignment vertical="top"/>
    </xf>
    <xf numFmtId="0" fontId="9" fillId="6" borderId="0" xfId="4" applyNumberFormat="1" applyFont="1" applyFill="1" applyBorder="1" applyAlignment="1" applyProtection="1">
      <alignment horizontal="left"/>
    </xf>
    <xf numFmtId="2" fontId="13" fillId="6" borderId="0" xfId="4" applyNumberFormat="1" applyFont="1" applyFill="1" applyBorder="1" applyAlignment="1" applyProtection="1">
      <alignment horizontal="center"/>
    </xf>
    <xf numFmtId="1" fontId="13" fillId="6" borderId="60" xfId="4" applyFont="1" applyFill="1" applyBorder="1" applyAlignment="1">
      <alignment horizontal="right" indent="1"/>
    </xf>
    <xf numFmtId="1" fontId="22" fillId="6" borderId="60" xfId="4" applyFont="1" applyFill="1" applyBorder="1" applyAlignment="1">
      <alignment horizontal="right" indent="1"/>
    </xf>
    <xf numFmtId="1" fontId="13" fillId="6" borderId="0" xfId="4" applyFont="1" applyFill="1" applyBorder="1" applyAlignment="1">
      <alignment horizontal="left" indent="1"/>
    </xf>
    <xf numFmtId="1" fontId="13" fillId="6" borderId="0" xfId="4" applyFont="1" applyFill="1" applyBorder="1" applyAlignment="1">
      <alignment horizontal="right" indent="1"/>
    </xf>
    <xf numFmtId="1" fontId="13" fillId="6" borderId="0" xfId="4" applyFont="1" applyFill="1" applyBorder="1" applyAlignment="1">
      <alignment horizontal="left" indent="2"/>
    </xf>
    <xf numFmtId="0" fontId="0" fillId="0" borderId="0" xfId="0" applyBorder="1"/>
    <xf numFmtId="10" fontId="6" fillId="6" borderId="65" xfId="4" applyNumberFormat="1" applyFont="1" applyFill="1" applyBorder="1" applyAlignment="1" applyProtection="1">
      <alignment horizontal="center"/>
    </xf>
    <xf numFmtId="178" fontId="6" fillId="6" borderId="0" xfId="4" applyNumberFormat="1" applyFont="1" applyFill="1" applyBorder="1" applyAlignment="1">
      <alignment horizontal="center"/>
    </xf>
    <xf numFmtId="1" fontId="13" fillId="6" borderId="74" xfId="4" applyFont="1" applyFill="1" applyBorder="1" applyAlignment="1">
      <alignment horizontal="left" indent="1"/>
    </xf>
    <xf numFmtId="10" fontId="13" fillId="6" borderId="74" xfId="4" applyNumberFormat="1" applyFont="1" applyFill="1" applyBorder="1" applyAlignment="1">
      <alignment horizontal="center"/>
    </xf>
    <xf numFmtId="42" fontId="13" fillId="6" borderId="74" xfId="5" applyNumberFormat="1" applyFont="1" applyFill="1" applyBorder="1" applyProtection="1"/>
    <xf numFmtId="1" fontId="6" fillId="0" borderId="0" xfId="4" applyFont="1" applyAlignment="1" applyProtection="1">
      <alignment horizontal="right" indent="1"/>
    </xf>
    <xf numFmtId="178" fontId="3" fillId="0" borderId="0" xfId="4" applyNumberFormat="1" applyFont="1" applyAlignment="1" applyProtection="1">
      <alignment horizontal="right"/>
    </xf>
    <xf numFmtId="178" fontId="3" fillId="0" borderId="60" xfId="4" applyNumberFormat="1" applyFont="1" applyFill="1" applyBorder="1" applyAlignment="1" applyProtection="1">
      <alignment horizontal="right"/>
    </xf>
    <xf numFmtId="178" fontId="3" fillId="0" borderId="0" xfId="4" applyNumberFormat="1" applyFont="1" applyFill="1" applyBorder="1" applyAlignment="1" applyProtection="1">
      <alignment horizontal="right"/>
    </xf>
    <xf numFmtId="178" fontId="3" fillId="0" borderId="61" xfId="4" applyNumberFormat="1" applyFont="1" applyFill="1" applyBorder="1" applyAlignment="1" applyProtection="1">
      <alignment horizontal="right"/>
    </xf>
    <xf numFmtId="170" fontId="15" fillId="0" borderId="0" xfId="4" applyNumberFormat="1" applyFont="1" applyProtection="1"/>
    <xf numFmtId="170" fontId="15" fillId="2" borderId="70" xfId="4" applyNumberFormat="1" applyFont="1" applyFill="1" applyBorder="1" applyAlignment="1" applyProtection="1">
      <alignment horizontal="right"/>
    </xf>
    <xf numFmtId="170" fontId="15" fillId="2" borderId="71" xfId="4" applyNumberFormat="1" applyFont="1" applyFill="1" applyBorder="1" applyAlignment="1" applyProtection="1">
      <alignment horizontal="right"/>
    </xf>
    <xf numFmtId="170" fontId="15" fillId="2" borderId="72" xfId="4" applyNumberFormat="1" applyFont="1" applyFill="1" applyBorder="1" applyAlignment="1" applyProtection="1">
      <alignment horizontal="right"/>
    </xf>
    <xf numFmtId="171" fontId="15" fillId="0" borderId="0" xfId="4" applyNumberFormat="1" applyFont="1" applyProtection="1"/>
    <xf numFmtId="171" fontId="15" fillId="2" borderId="70" xfId="3" applyNumberFormat="1" applyFont="1" applyFill="1" applyBorder="1" applyAlignment="1" applyProtection="1">
      <alignment horizontal="right"/>
    </xf>
    <xf numFmtId="171" fontId="15" fillId="2" borderId="71" xfId="3" applyNumberFormat="1" applyFont="1" applyFill="1" applyBorder="1" applyAlignment="1" applyProtection="1">
      <alignment horizontal="right"/>
    </xf>
    <xf numFmtId="171" fontId="15" fillId="2" borderId="72" xfId="3" applyNumberFormat="1" applyFont="1" applyFill="1" applyBorder="1" applyAlignment="1" applyProtection="1">
      <alignment horizontal="right"/>
    </xf>
    <xf numFmtId="178" fontId="3" fillId="0" borderId="0" xfId="5" applyNumberFormat="1" applyFont="1" applyAlignment="1" applyProtection="1">
      <alignment horizontal="right"/>
    </xf>
    <xf numFmtId="178" fontId="3" fillId="0" borderId="60" xfId="5" applyNumberFormat="1" applyFont="1" applyFill="1" applyBorder="1" applyAlignment="1" applyProtection="1">
      <alignment horizontal="right"/>
    </xf>
    <xf numFmtId="178" fontId="3" fillId="0" borderId="0" xfId="5" applyNumberFormat="1" applyFont="1" applyFill="1" applyBorder="1" applyAlignment="1" applyProtection="1">
      <alignment horizontal="right"/>
    </xf>
    <xf numFmtId="178" fontId="3" fillId="0" borderId="61" xfId="5" applyNumberFormat="1" applyFont="1" applyFill="1" applyBorder="1" applyAlignment="1" applyProtection="1">
      <alignment horizontal="right"/>
    </xf>
    <xf numFmtId="179" fontId="3" fillId="0" borderId="62" xfId="5" applyNumberFormat="1" applyFont="1" applyBorder="1" applyProtection="1"/>
    <xf numFmtId="179" fontId="3" fillId="0" borderId="63" xfId="5" applyNumberFormat="1" applyFont="1" applyFill="1" applyBorder="1" applyAlignment="1" applyProtection="1">
      <alignment horizontal="right"/>
    </xf>
    <xf numFmtId="179" fontId="3" fillId="0" borderId="62" xfId="5" applyNumberFormat="1" applyFont="1" applyFill="1" applyBorder="1" applyAlignment="1" applyProtection="1">
      <alignment horizontal="right"/>
    </xf>
    <xf numFmtId="179" fontId="3" fillId="0" borderId="64" xfId="5" applyNumberFormat="1" applyFont="1" applyFill="1" applyBorder="1" applyAlignment="1" applyProtection="1">
      <alignment horizontal="right"/>
    </xf>
    <xf numFmtId="179" fontId="3" fillId="0" borderId="0" xfId="4" applyNumberFormat="1" applyFont="1" applyProtection="1"/>
    <xf numFmtId="179" fontId="3" fillId="0" borderId="60" xfId="4" applyNumberFormat="1" applyFont="1" applyFill="1" applyBorder="1" applyAlignment="1" applyProtection="1">
      <alignment horizontal="right"/>
    </xf>
    <xf numFmtId="179" fontId="3" fillId="0" borderId="0" xfId="4" applyNumberFormat="1" applyFont="1" applyFill="1" applyBorder="1" applyAlignment="1" applyProtection="1">
      <alignment horizontal="right"/>
    </xf>
    <xf numFmtId="179" fontId="3" fillId="0" borderId="61" xfId="4" applyNumberFormat="1" applyFont="1" applyFill="1" applyBorder="1" applyAlignment="1" applyProtection="1">
      <alignment horizontal="right"/>
    </xf>
    <xf numFmtId="179" fontId="3" fillId="0" borderId="65" xfId="5" applyNumberFormat="1" applyFont="1" applyBorder="1" applyProtection="1"/>
    <xf numFmtId="179" fontId="3" fillId="0" borderId="66" xfId="5" applyNumberFormat="1" applyFont="1" applyFill="1" applyBorder="1" applyAlignment="1" applyProtection="1">
      <alignment horizontal="right"/>
    </xf>
    <xf numFmtId="179" fontId="3" fillId="0" borderId="65" xfId="5" applyNumberFormat="1" applyFont="1" applyFill="1" applyBorder="1" applyAlignment="1" applyProtection="1">
      <alignment horizontal="right"/>
    </xf>
    <xf numFmtId="179" fontId="3" fillId="0" borderId="67" xfId="5" applyNumberFormat="1" applyFont="1" applyFill="1" applyBorder="1" applyAlignment="1" applyProtection="1">
      <alignment horizontal="right"/>
    </xf>
    <xf numFmtId="178" fontId="3" fillId="0" borderId="0" xfId="5" applyNumberFormat="1" applyFont="1" applyProtection="1"/>
    <xf numFmtId="178" fontId="3" fillId="6" borderId="0" xfId="5" applyNumberFormat="1" applyFont="1" applyFill="1" applyProtection="1"/>
    <xf numFmtId="178" fontId="3" fillId="6" borderId="65" xfId="5" applyNumberFormat="1" applyFont="1" applyFill="1" applyBorder="1" applyProtection="1"/>
    <xf numFmtId="178" fontId="3" fillId="0" borderId="75" xfId="5" applyNumberFormat="1" applyFont="1" applyBorder="1" applyProtection="1"/>
    <xf numFmtId="180" fontId="3" fillId="0" borderId="68" xfId="5" applyNumberFormat="1" applyFont="1" applyBorder="1" applyProtection="1"/>
    <xf numFmtId="178" fontId="6" fillId="6" borderId="69" xfId="4" applyNumberFormat="1" applyFont="1" applyFill="1" applyBorder="1" applyAlignment="1">
      <alignment horizontal="center"/>
    </xf>
    <xf numFmtId="10" fontId="6" fillId="6" borderId="69" xfId="4" applyNumberFormat="1" applyFont="1" applyFill="1" applyBorder="1" applyAlignment="1">
      <alignment horizontal="center"/>
    </xf>
    <xf numFmtId="1" fontId="22" fillId="6" borderId="0" xfId="4" applyFont="1" applyFill="1" applyBorder="1" applyAlignment="1">
      <alignment horizontal="right" indent="1"/>
    </xf>
    <xf numFmtId="10" fontId="6" fillId="2" borderId="1" xfId="2" applyNumberFormat="1" applyFont="1" applyFill="1" applyBorder="1" applyAlignment="1" applyProtection="1">
      <alignment horizontal="center"/>
      <protection locked="0"/>
    </xf>
    <xf numFmtId="1" fontId="6" fillId="2" borderId="1" xfId="4" applyNumberFormat="1" applyFont="1" applyFill="1" applyBorder="1" applyAlignment="1" applyProtection="1">
      <alignment horizontal="center"/>
    </xf>
    <xf numFmtId="1" fontId="6" fillId="0" borderId="68" xfId="4" applyFont="1" applyBorder="1" applyAlignment="1">
      <alignment horizontal="center" vertical="center" wrapText="1"/>
    </xf>
    <xf numFmtId="1" fontId="6" fillId="0" borderId="68" xfId="4" applyFont="1" applyBorder="1" applyAlignment="1">
      <alignment horizontal="center" wrapText="1"/>
    </xf>
    <xf numFmtId="0" fontId="23" fillId="0" borderId="0" xfId="0" applyFont="1"/>
    <xf numFmtId="0" fontId="23" fillId="0" borderId="0" xfId="0" applyFont="1" applyAlignment="1">
      <alignment vertical="top" wrapText="1"/>
    </xf>
    <xf numFmtId="0" fontId="4" fillId="0" borderId="0" xfId="0" applyFont="1" applyAlignment="1">
      <alignment horizontal="right" vertical="top" wrapText="1"/>
    </xf>
    <xf numFmtId="0" fontId="0" fillId="3" borderId="9" xfId="0" applyFont="1" applyFill="1" applyBorder="1" applyAlignment="1">
      <alignment vertical="center"/>
    </xf>
    <xf numFmtId="172" fontId="0" fillId="3" borderId="42" xfId="0" applyNumberFormat="1" applyFont="1" applyFill="1" applyBorder="1" applyAlignment="1">
      <alignment horizontal="right" vertical="center"/>
    </xf>
    <xf numFmtId="172" fontId="0" fillId="3" borderId="0" xfId="0" applyNumberFormat="1" applyFont="1" applyFill="1" applyBorder="1" applyAlignment="1">
      <alignment horizontal="right" vertical="center"/>
    </xf>
    <xf numFmtId="0" fontId="23" fillId="0" borderId="13" xfId="0" applyFont="1" applyBorder="1" applyAlignment="1">
      <alignment vertical="center"/>
    </xf>
    <xf numFmtId="170" fontId="23" fillId="0" borderId="48" xfId="2" applyNumberFormat="1" applyFont="1" applyBorder="1" applyAlignment="1">
      <alignment horizontal="right" vertical="center" wrapText="1"/>
    </xf>
    <xf numFmtId="170" fontId="23" fillId="0" borderId="14" xfId="2" applyNumberFormat="1" applyFont="1" applyBorder="1" applyAlignment="1">
      <alignment horizontal="right" vertical="center" wrapText="1"/>
    </xf>
    <xf numFmtId="167" fontId="0" fillId="3" borderId="42" xfId="1" applyNumberFormat="1" applyFont="1" applyFill="1" applyBorder="1" applyAlignment="1">
      <alignment horizontal="right" vertical="center"/>
    </xf>
    <xf numFmtId="167" fontId="0" fillId="3" borderId="0" xfId="1" applyNumberFormat="1" applyFont="1" applyFill="1" applyBorder="1" applyAlignment="1">
      <alignment horizontal="right" vertical="center"/>
    </xf>
    <xf numFmtId="170" fontId="4" fillId="0" borderId="0" xfId="0" applyNumberFormat="1" applyFont="1" applyAlignment="1">
      <alignment vertical="top" wrapText="1"/>
    </xf>
    <xf numFmtId="0" fontId="13" fillId="0" borderId="0" xfId="6" applyNumberFormat="1" applyFont="1" applyBorder="1" applyAlignment="1">
      <alignment wrapText="1"/>
    </xf>
    <xf numFmtId="0" fontId="13" fillId="0" borderId="0" xfId="6" applyNumberFormat="1" applyFont="1" applyBorder="1" applyAlignment="1">
      <alignment horizontal="center"/>
    </xf>
    <xf numFmtId="182" fontId="13" fillId="0" borderId="0" xfId="3" applyNumberFormat="1" applyFont="1" applyBorder="1" applyAlignment="1">
      <alignment horizontal="right"/>
    </xf>
    <xf numFmtId="182" fontId="13" fillId="0" borderId="0" xfId="3" applyNumberFormat="1" applyFont="1" applyBorder="1" applyAlignment="1">
      <alignment horizontal="center" wrapText="1"/>
    </xf>
    <xf numFmtId="183" fontId="13" fillId="0" borderId="0" xfId="6" applyNumberFormat="1" applyFont="1" applyBorder="1" applyAlignment="1">
      <alignment horizontal="right"/>
    </xf>
    <xf numFmtId="0" fontId="0" fillId="0" borderId="0" xfId="0" applyAlignment="1">
      <alignment vertical="center"/>
    </xf>
    <xf numFmtId="0" fontId="25" fillId="7" borderId="0" xfId="6" applyNumberFormat="1" applyFont="1" applyFill="1" applyBorder="1" applyAlignment="1">
      <alignment vertical="center"/>
    </xf>
    <xf numFmtId="0" fontId="26" fillId="7" borderId="0" xfId="6" applyNumberFormat="1" applyFont="1" applyFill="1" applyBorder="1" applyAlignment="1">
      <alignment vertical="center"/>
    </xf>
    <xf numFmtId="181" fontId="25" fillId="7" borderId="0" xfId="6" applyFont="1" applyFill="1" applyBorder="1" applyAlignment="1">
      <alignment horizontal="center" vertical="center"/>
    </xf>
    <xf numFmtId="170" fontId="0" fillId="0" borderId="0" xfId="0" applyNumberFormat="1" applyAlignment="1">
      <alignment vertical="center"/>
    </xf>
    <xf numFmtId="0" fontId="25" fillId="7" borderId="0" xfId="6" applyNumberFormat="1" applyFont="1" applyFill="1" applyBorder="1" applyAlignment="1">
      <alignment horizontal="left" vertical="center"/>
    </xf>
    <xf numFmtId="0" fontId="25" fillId="7" borderId="0" xfId="6" applyNumberFormat="1" applyFont="1" applyFill="1" applyBorder="1" applyAlignment="1">
      <alignment horizontal="center" vertical="center"/>
    </xf>
    <xf numFmtId="0" fontId="13" fillId="2" borderId="0" xfId="6" applyNumberFormat="1" applyFont="1" applyFill="1" applyBorder="1" applyAlignment="1">
      <alignment wrapText="1"/>
    </xf>
    <xf numFmtId="0" fontId="13" fillId="2" borderId="0" xfId="6" applyNumberFormat="1" applyFont="1" applyFill="1" applyBorder="1" applyAlignment="1">
      <alignment horizontal="center"/>
    </xf>
    <xf numFmtId="182" fontId="13" fillId="2" borderId="0" xfId="3" applyNumberFormat="1" applyFont="1" applyFill="1" applyBorder="1" applyAlignment="1">
      <alignment horizontal="right"/>
    </xf>
    <xf numFmtId="182" fontId="13" fillId="2" borderId="0" xfId="3" applyNumberFormat="1" applyFont="1" applyFill="1" applyBorder="1" applyAlignment="1">
      <alignment horizontal="center" wrapText="1"/>
    </xf>
    <xf numFmtId="183" fontId="13" fillId="2" borderId="0" xfId="6" applyNumberFormat="1" applyFont="1" applyFill="1" applyBorder="1" applyAlignment="1">
      <alignment horizontal="right"/>
    </xf>
    <xf numFmtId="0" fontId="1" fillId="3" borderId="9" xfId="0" applyFont="1" applyFill="1" applyBorder="1" applyAlignment="1">
      <alignment vertical="center"/>
    </xf>
    <xf numFmtId="170" fontId="0" fillId="3" borderId="42" xfId="0" applyNumberFormat="1" applyFont="1" applyFill="1" applyBorder="1" applyAlignment="1">
      <alignment horizontal="right" vertical="center"/>
    </xf>
    <xf numFmtId="170" fontId="0" fillId="3" borderId="0" xfId="0" applyNumberFormat="1" applyFont="1" applyFill="1" applyBorder="1" applyAlignment="1">
      <alignment horizontal="right" vertical="center"/>
    </xf>
    <xf numFmtId="170" fontId="0" fillId="0" borderId="48" xfId="2" applyNumberFormat="1" applyFont="1" applyBorder="1" applyAlignment="1">
      <alignment horizontal="right" vertical="center" wrapText="1"/>
    </xf>
    <xf numFmtId="170" fontId="0" fillId="0" borderId="14" xfId="2" applyNumberFormat="1" applyFont="1" applyBorder="1" applyAlignment="1">
      <alignment horizontal="right" vertical="center" wrapText="1"/>
    </xf>
    <xf numFmtId="0" fontId="1" fillId="4" borderId="45" xfId="0" applyFont="1" applyFill="1" applyBorder="1" applyAlignment="1">
      <alignment horizontal="center"/>
    </xf>
    <xf numFmtId="172" fontId="0" fillId="3" borderId="46" xfId="0" applyNumberFormat="1" applyFont="1" applyFill="1" applyBorder="1" applyAlignment="1">
      <alignment horizontal="right" vertical="center"/>
    </xf>
    <xf numFmtId="172" fontId="0" fillId="3" borderId="47" xfId="0" applyNumberFormat="1" applyFont="1" applyFill="1" applyBorder="1" applyAlignment="1">
      <alignment horizontal="right" vertical="center"/>
    </xf>
    <xf numFmtId="170" fontId="23" fillId="0" borderId="49" xfId="2" applyNumberFormat="1" applyFont="1" applyBorder="1" applyAlignment="1">
      <alignment horizontal="right" vertical="center" wrapText="1"/>
    </xf>
    <xf numFmtId="167" fontId="0" fillId="3" borderId="46" xfId="1" applyNumberFormat="1" applyFont="1" applyFill="1" applyBorder="1" applyAlignment="1">
      <alignment horizontal="right" vertical="center"/>
    </xf>
    <xf numFmtId="167" fontId="0" fillId="3" borderId="47" xfId="1" applyNumberFormat="1" applyFont="1" applyFill="1" applyBorder="1" applyAlignment="1">
      <alignment horizontal="right" vertical="center"/>
    </xf>
    <xf numFmtId="170" fontId="0" fillId="0" borderId="49" xfId="2" applyNumberFormat="1" applyFont="1" applyBorder="1" applyAlignment="1">
      <alignment horizontal="right" vertical="center" wrapText="1"/>
    </xf>
    <xf numFmtId="170" fontId="0" fillId="3" borderId="46" xfId="0" applyNumberFormat="1" applyFont="1" applyFill="1" applyBorder="1" applyAlignment="1">
      <alignment horizontal="right" vertical="center"/>
    </xf>
    <xf numFmtId="170" fontId="0" fillId="3" borderId="47" xfId="0" applyNumberFormat="1" applyFont="1" applyFill="1" applyBorder="1" applyAlignment="1">
      <alignment horizontal="right" vertical="center"/>
    </xf>
    <xf numFmtId="2" fontId="0" fillId="0" borderId="48" xfId="3" applyNumberFormat="1" applyFont="1" applyBorder="1" applyAlignment="1">
      <alignment horizontal="right" vertical="center" wrapText="1"/>
    </xf>
    <xf numFmtId="2" fontId="0" fillId="0" borderId="14" xfId="3" applyNumberFormat="1" applyFont="1" applyBorder="1" applyAlignment="1">
      <alignment horizontal="right" vertical="center" wrapText="1"/>
    </xf>
    <xf numFmtId="2" fontId="0" fillId="0" borderId="49" xfId="3" applyNumberFormat="1" applyFont="1" applyBorder="1" applyAlignment="1">
      <alignment horizontal="right" vertical="center" wrapText="1"/>
    </xf>
    <xf numFmtId="2" fontId="0" fillId="3" borderId="46" xfId="3" applyNumberFormat="1" applyFont="1" applyFill="1" applyBorder="1" applyAlignment="1">
      <alignment horizontal="right" vertical="center"/>
    </xf>
    <xf numFmtId="2" fontId="0" fillId="3" borderId="0" xfId="3" applyNumberFormat="1" applyFont="1" applyFill="1" applyBorder="1" applyAlignment="1">
      <alignment horizontal="right" vertical="center"/>
    </xf>
    <xf numFmtId="2" fontId="0" fillId="3" borderId="47" xfId="3" applyNumberFormat="1" applyFont="1" applyFill="1" applyBorder="1" applyAlignment="1">
      <alignment horizontal="right" vertical="center"/>
    </xf>
    <xf numFmtId="2" fontId="0" fillId="3" borderId="42" xfId="3" applyNumberFormat="1" applyFont="1" applyFill="1" applyBorder="1" applyAlignment="1">
      <alignment horizontal="right" vertical="center"/>
    </xf>
    <xf numFmtId="0" fontId="0" fillId="3" borderId="9" xfId="0" applyFont="1" applyFill="1" applyBorder="1" applyAlignment="1">
      <alignment horizontal="left" vertical="center" indent="1"/>
    </xf>
    <xf numFmtId="0" fontId="0" fillId="0" borderId="13" xfId="0" applyFont="1" applyBorder="1" applyAlignment="1">
      <alignment horizontal="left" vertical="center" indent="1"/>
    </xf>
    <xf numFmtId="2" fontId="0" fillId="3" borderId="0" xfId="0" applyNumberFormat="1" applyFont="1" applyFill="1" applyBorder="1" applyAlignment="1">
      <alignment horizontal="right" vertical="center"/>
    </xf>
    <xf numFmtId="2" fontId="23" fillId="0" borderId="14" xfId="2" applyNumberFormat="1" applyFont="1" applyBorder="1" applyAlignment="1">
      <alignment horizontal="right" vertical="center" wrapText="1"/>
    </xf>
    <xf numFmtId="170" fontId="2" fillId="0" borderId="14" xfId="2" applyNumberFormat="1" applyFont="1" applyBorder="1" applyAlignment="1">
      <alignment horizontal="right" vertical="center" wrapText="1"/>
    </xf>
    <xf numFmtId="170" fontId="2" fillId="3" borderId="17" xfId="2" applyNumberFormat="1" applyFont="1" applyFill="1" applyBorder="1" applyAlignment="1">
      <alignment horizontal="right" vertical="center"/>
    </xf>
    <xf numFmtId="2" fontId="2" fillId="0" borderId="14" xfId="2" applyNumberFormat="1" applyFont="1" applyBorder="1" applyAlignment="1">
      <alignment horizontal="right" vertical="center" wrapText="1"/>
    </xf>
    <xf numFmtId="2" fontId="2" fillId="3" borderId="17" xfId="2" applyNumberFormat="1" applyFont="1" applyFill="1" applyBorder="1" applyAlignment="1">
      <alignment horizontal="right" vertical="center"/>
    </xf>
    <xf numFmtId="172" fontId="0" fillId="3" borderId="77" xfId="0" applyNumberFormat="1" applyFont="1" applyFill="1" applyBorder="1" applyAlignment="1">
      <alignment horizontal="right" vertical="center"/>
    </xf>
    <xf numFmtId="172" fontId="0" fillId="3" borderId="78" xfId="0" applyNumberFormat="1" applyFont="1" applyFill="1" applyBorder="1" applyAlignment="1">
      <alignment horizontal="right" vertical="center"/>
    </xf>
    <xf numFmtId="170" fontId="2" fillId="0" borderId="79" xfId="2" applyNumberFormat="1" applyFont="1" applyBorder="1" applyAlignment="1">
      <alignment horizontal="right" vertical="center" wrapText="1"/>
    </xf>
    <xf numFmtId="170" fontId="2" fillId="0" borderId="38" xfId="2" applyNumberFormat="1" applyFont="1" applyBorder="1" applyAlignment="1">
      <alignment horizontal="right" vertical="center" wrapText="1"/>
    </xf>
    <xf numFmtId="170" fontId="2" fillId="3" borderId="79" xfId="2" applyNumberFormat="1" applyFont="1" applyFill="1" applyBorder="1" applyAlignment="1">
      <alignment horizontal="right" vertical="center"/>
    </xf>
    <xf numFmtId="170" fontId="2" fillId="3" borderId="38" xfId="2" applyNumberFormat="1" applyFont="1" applyFill="1" applyBorder="1" applyAlignment="1">
      <alignment horizontal="right" vertical="center"/>
    </xf>
    <xf numFmtId="172" fontId="0" fillId="3" borderId="79" xfId="0" applyNumberFormat="1" applyFont="1" applyFill="1" applyBorder="1" applyAlignment="1">
      <alignment horizontal="right" vertical="center"/>
    </xf>
    <xf numFmtId="172" fontId="0" fillId="3" borderId="38" xfId="0" applyNumberFormat="1" applyFont="1" applyFill="1" applyBorder="1" applyAlignment="1">
      <alignment horizontal="right" vertical="center"/>
    </xf>
    <xf numFmtId="2" fontId="2" fillId="0" borderId="79" xfId="2" applyNumberFormat="1" applyFont="1" applyBorder="1" applyAlignment="1">
      <alignment horizontal="right" vertical="center" wrapText="1"/>
    </xf>
    <xf numFmtId="2" fontId="2" fillId="0" borderId="38" xfId="2" applyNumberFormat="1" applyFont="1" applyBorder="1" applyAlignment="1">
      <alignment horizontal="right" vertical="center" wrapText="1"/>
    </xf>
    <xf numFmtId="2" fontId="2" fillId="3" borderId="79" xfId="2" applyNumberFormat="1" applyFont="1" applyFill="1" applyBorder="1" applyAlignment="1">
      <alignment horizontal="right" vertical="center"/>
    </xf>
    <xf numFmtId="2" fontId="2" fillId="3" borderId="38" xfId="2" applyNumberFormat="1" applyFont="1" applyFill="1" applyBorder="1" applyAlignment="1">
      <alignment horizontal="right" vertical="center"/>
    </xf>
    <xf numFmtId="2" fontId="0" fillId="3" borderId="79" xfId="0" applyNumberFormat="1" applyFont="1" applyFill="1" applyBorder="1" applyAlignment="1">
      <alignment horizontal="right" vertical="center"/>
    </xf>
    <xf numFmtId="2" fontId="0" fillId="3" borderId="38" xfId="0" applyNumberFormat="1" applyFont="1" applyFill="1" applyBorder="1" applyAlignment="1">
      <alignment horizontal="right" vertical="center"/>
    </xf>
    <xf numFmtId="2" fontId="23" fillId="0" borderId="79" xfId="2" applyNumberFormat="1" applyFont="1" applyBorder="1" applyAlignment="1">
      <alignment horizontal="right" vertical="center" wrapText="1"/>
    </xf>
    <xf numFmtId="2" fontId="23" fillId="0" borderId="38" xfId="2" applyNumberFormat="1" applyFont="1" applyBorder="1" applyAlignment="1">
      <alignment horizontal="right" vertical="center" wrapText="1"/>
    </xf>
    <xf numFmtId="169" fontId="4" fillId="2" borderId="1" xfId="4" applyNumberFormat="1" applyFont="1" applyFill="1" applyBorder="1" applyAlignment="1" applyProtection="1">
      <alignment horizontal="right"/>
    </xf>
    <xf numFmtId="0" fontId="1" fillId="3" borderId="9" xfId="0" applyFont="1" applyFill="1" applyBorder="1" applyAlignment="1">
      <alignment horizontal="left" vertical="center"/>
    </xf>
    <xf numFmtId="0" fontId="1" fillId="0" borderId="13" xfId="0" applyFont="1" applyBorder="1" applyAlignment="1">
      <alignment horizontal="left" vertical="center"/>
    </xf>
    <xf numFmtId="1" fontId="13" fillId="0" borderId="0" xfId="4" applyFont="1" applyAlignment="1" applyProtection="1">
      <alignment horizontal="right"/>
    </xf>
    <xf numFmtId="0" fontId="0" fillId="0" borderId="13" xfId="0" quotePrefix="1" applyFont="1" applyBorder="1" applyAlignment="1">
      <alignment horizontal="left" vertical="center" indent="1"/>
    </xf>
    <xf numFmtId="2" fontId="0" fillId="3" borderId="46" xfId="0" applyNumberFormat="1" applyFont="1" applyFill="1" applyBorder="1" applyAlignment="1">
      <alignment horizontal="right" vertical="center"/>
    </xf>
    <xf numFmtId="2" fontId="0" fillId="3" borderId="47" xfId="0" applyNumberFormat="1" applyFont="1" applyFill="1" applyBorder="1" applyAlignment="1">
      <alignment horizontal="right" vertical="center"/>
    </xf>
    <xf numFmtId="2" fontId="0" fillId="3" borderId="42" xfId="0" applyNumberFormat="1" applyFont="1" applyFill="1" applyBorder="1" applyAlignment="1">
      <alignment horizontal="right" vertical="center"/>
    </xf>
    <xf numFmtId="0" fontId="4" fillId="0" borderId="0" xfId="0" applyFont="1" applyBorder="1"/>
    <xf numFmtId="172" fontId="4" fillId="0" borderId="0" xfId="1" applyNumberFormat="1" applyFont="1" applyBorder="1" applyAlignment="1">
      <alignment horizontal="left"/>
    </xf>
    <xf numFmtId="170" fontId="0" fillId="3" borderId="46" xfId="2" applyNumberFormat="1" applyFont="1" applyFill="1" applyBorder="1" applyAlignment="1">
      <alignment horizontal="right" vertical="center"/>
    </xf>
    <xf numFmtId="170" fontId="0" fillId="3" borderId="0" xfId="2" applyNumberFormat="1" applyFont="1" applyFill="1" applyBorder="1" applyAlignment="1">
      <alignment horizontal="right" vertical="center"/>
    </xf>
    <xf numFmtId="170" fontId="0" fillId="3" borderId="47" xfId="2" applyNumberFormat="1" applyFont="1" applyFill="1" applyBorder="1" applyAlignment="1">
      <alignment horizontal="right" vertical="center"/>
    </xf>
    <xf numFmtId="170" fontId="0" fillId="3" borderId="42" xfId="2" applyNumberFormat="1" applyFont="1" applyFill="1" applyBorder="1" applyAlignment="1">
      <alignment horizontal="right" vertical="center"/>
    </xf>
    <xf numFmtId="2" fontId="0" fillId="0" borderId="48" xfId="2" applyNumberFormat="1" applyFont="1" applyBorder="1" applyAlignment="1">
      <alignment horizontal="right" vertical="center" wrapText="1"/>
    </xf>
    <xf numFmtId="2" fontId="0" fillId="0" borderId="14" xfId="2" applyNumberFormat="1" applyFont="1" applyBorder="1" applyAlignment="1">
      <alignment horizontal="right" vertical="center" wrapText="1"/>
    </xf>
    <xf numFmtId="2" fontId="0" fillId="0" borderId="49" xfId="2" applyNumberFormat="1" applyFont="1" applyBorder="1" applyAlignment="1">
      <alignment horizontal="right" vertical="center" wrapText="1"/>
    </xf>
    <xf numFmtId="0" fontId="0" fillId="3" borderId="9" xfId="0" quotePrefix="1" applyFont="1" applyFill="1" applyBorder="1" applyAlignment="1">
      <alignment horizontal="left" vertical="center" indent="1"/>
    </xf>
    <xf numFmtId="0" fontId="0" fillId="0" borderId="0" xfId="0" quotePrefix="1" applyFont="1" applyBorder="1" applyAlignment="1">
      <alignment horizontal="left" vertical="center" indent="1"/>
    </xf>
    <xf numFmtId="170" fontId="0" fillId="0" borderId="0" xfId="2" applyNumberFormat="1" applyFont="1" applyBorder="1" applyAlignment="1">
      <alignment horizontal="right" vertical="center" wrapText="1"/>
    </xf>
    <xf numFmtId="0" fontId="0" fillId="0" borderId="22" xfId="0" quotePrefix="1" applyFont="1" applyBorder="1" applyAlignment="1">
      <alignment horizontal="left" vertical="center" indent="1"/>
    </xf>
    <xf numFmtId="170" fontId="0" fillId="0" borderId="22" xfId="2" applyNumberFormat="1" applyFont="1" applyBorder="1" applyAlignment="1">
      <alignment horizontal="right" vertical="center" wrapText="1"/>
    </xf>
    <xf numFmtId="170" fontId="0" fillId="0" borderId="82" xfId="2" applyNumberFormat="1" applyFont="1" applyBorder="1" applyAlignment="1">
      <alignment horizontal="right" vertical="center" wrapText="1"/>
    </xf>
    <xf numFmtId="2" fontId="0" fillId="3" borderId="83" xfId="0" applyNumberFormat="1" applyFont="1" applyFill="1" applyBorder="1" applyAlignment="1">
      <alignment horizontal="right" vertical="center"/>
    </xf>
    <xf numFmtId="172" fontId="0" fillId="3" borderId="84" xfId="0" applyNumberFormat="1" applyFont="1" applyFill="1" applyBorder="1" applyAlignment="1">
      <alignment horizontal="right" vertical="center"/>
    </xf>
    <xf numFmtId="170" fontId="0" fillId="3" borderId="83" xfId="2" applyNumberFormat="1" applyFont="1" applyFill="1" applyBorder="1" applyAlignment="1">
      <alignment horizontal="right" vertical="center"/>
    </xf>
    <xf numFmtId="2" fontId="0" fillId="0" borderId="82" xfId="2" applyNumberFormat="1" applyFont="1" applyBorder="1" applyAlignment="1">
      <alignment horizontal="right" vertical="center" wrapText="1"/>
    </xf>
    <xf numFmtId="171" fontId="0" fillId="3" borderId="46" xfId="0" applyNumberFormat="1" applyFont="1" applyFill="1" applyBorder="1" applyAlignment="1">
      <alignment horizontal="right" vertical="center"/>
    </xf>
    <xf numFmtId="171" fontId="0" fillId="3" borderId="0" xfId="0" applyNumberFormat="1" applyFont="1" applyFill="1" applyBorder="1" applyAlignment="1">
      <alignment horizontal="right" vertical="center"/>
    </xf>
    <xf numFmtId="171" fontId="0" fillId="3" borderId="47" xfId="0" applyNumberFormat="1" applyFont="1" applyFill="1" applyBorder="1" applyAlignment="1">
      <alignment horizontal="right" vertical="center"/>
    </xf>
    <xf numFmtId="171" fontId="0" fillId="3" borderId="42" xfId="0" applyNumberFormat="1" applyFont="1" applyFill="1" applyBorder="1" applyAlignment="1">
      <alignment horizontal="right" vertical="center"/>
    </xf>
    <xf numFmtId="171" fontId="0" fillId="0" borderId="48" xfId="2" applyNumberFormat="1" applyFont="1" applyBorder="1" applyAlignment="1">
      <alignment horizontal="right" vertical="center" wrapText="1"/>
    </xf>
    <xf numFmtId="171" fontId="0" fillId="0" borderId="14" xfId="2" applyNumberFormat="1" applyFont="1" applyBorder="1" applyAlignment="1">
      <alignment horizontal="right" vertical="center" wrapText="1"/>
    </xf>
    <xf numFmtId="171" fontId="0" fillId="0" borderId="49" xfId="2" applyNumberFormat="1" applyFont="1" applyBorder="1" applyAlignment="1">
      <alignment horizontal="right" vertical="center" wrapText="1"/>
    </xf>
    <xf numFmtId="171" fontId="0" fillId="3" borderId="46" xfId="2" applyNumberFormat="1" applyFont="1" applyFill="1" applyBorder="1" applyAlignment="1">
      <alignment horizontal="right" vertical="center"/>
    </xf>
    <xf numFmtId="171" fontId="0" fillId="3" borderId="0" xfId="2" applyNumberFormat="1" applyFont="1" applyFill="1" applyBorder="1" applyAlignment="1">
      <alignment horizontal="right" vertical="center"/>
    </xf>
    <xf numFmtId="171" fontId="0" fillId="3" borderId="47" xfId="2" applyNumberFormat="1" applyFont="1" applyFill="1" applyBorder="1" applyAlignment="1">
      <alignment horizontal="right" vertical="center"/>
    </xf>
    <xf numFmtId="171" fontId="0" fillId="3" borderId="42" xfId="2" applyNumberFormat="1" applyFont="1" applyFill="1" applyBorder="1" applyAlignment="1">
      <alignment horizontal="right" vertical="center"/>
    </xf>
    <xf numFmtId="172" fontId="0" fillId="3" borderId="17" xfId="0" applyNumberFormat="1" applyFont="1" applyFill="1" applyBorder="1" applyAlignment="1">
      <alignment horizontal="right" vertical="center"/>
    </xf>
    <xf numFmtId="172" fontId="0" fillId="3" borderId="43" xfId="0" applyNumberFormat="1" applyFont="1" applyFill="1" applyBorder="1" applyAlignment="1">
      <alignment horizontal="right" vertical="center"/>
    </xf>
    <xf numFmtId="172" fontId="0" fillId="3" borderId="85" xfId="0" applyNumberFormat="1" applyFont="1" applyFill="1" applyBorder="1" applyAlignment="1">
      <alignment horizontal="right" vertical="center"/>
    </xf>
    <xf numFmtId="171" fontId="0" fillId="0" borderId="79" xfId="2" applyNumberFormat="1" applyFont="1" applyBorder="1" applyAlignment="1">
      <alignment horizontal="right" vertical="center" wrapText="1"/>
    </xf>
    <xf numFmtId="171" fontId="0" fillId="0" borderId="37" xfId="2" applyNumberFormat="1" applyFont="1" applyBorder="1" applyAlignment="1">
      <alignment horizontal="right" vertical="center" wrapText="1"/>
    </xf>
    <xf numFmtId="171" fontId="0" fillId="3" borderId="79" xfId="0" applyNumberFormat="1" applyFont="1" applyFill="1" applyBorder="1" applyAlignment="1">
      <alignment horizontal="right" vertical="center"/>
    </xf>
    <xf numFmtId="171" fontId="0" fillId="3" borderId="37" xfId="0" applyNumberFormat="1" applyFont="1" applyFill="1" applyBorder="1" applyAlignment="1">
      <alignment horizontal="right" vertical="center"/>
    </xf>
    <xf numFmtId="170" fontId="0" fillId="0" borderId="79" xfId="2" applyNumberFormat="1" applyFont="1" applyBorder="1" applyAlignment="1">
      <alignment horizontal="right" vertical="center" wrapText="1"/>
    </xf>
    <xf numFmtId="170" fontId="0" fillId="0" borderId="37" xfId="2" applyNumberFormat="1" applyFont="1" applyBorder="1" applyAlignment="1">
      <alignment horizontal="right" vertical="center" wrapText="1"/>
    </xf>
    <xf numFmtId="171" fontId="0" fillId="3" borderId="79" xfId="2" applyNumberFormat="1" applyFont="1" applyFill="1" applyBorder="1" applyAlignment="1">
      <alignment horizontal="right" vertical="center"/>
    </xf>
    <xf numFmtId="171" fontId="0" fillId="3" borderId="37" xfId="2" applyNumberFormat="1" applyFont="1" applyFill="1" applyBorder="1" applyAlignment="1">
      <alignment horizontal="right" vertical="center"/>
    </xf>
    <xf numFmtId="170" fontId="0" fillId="3" borderId="79" xfId="2" applyNumberFormat="1" applyFont="1" applyFill="1" applyBorder="1" applyAlignment="1">
      <alignment horizontal="right" vertical="center"/>
    </xf>
    <xf numFmtId="170" fontId="0" fillId="3" borderId="37" xfId="2" applyNumberFormat="1" applyFont="1" applyFill="1" applyBorder="1" applyAlignment="1">
      <alignment horizontal="right" vertical="center"/>
    </xf>
    <xf numFmtId="170" fontId="0" fillId="0" borderId="86" xfId="2" applyNumberFormat="1" applyFont="1" applyBorder="1" applyAlignment="1">
      <alignment horizontal="right" vertical="center" wrapText="1"/>
    </xf>
    <xf numFmtId="170" fontId="0" fillId="0" borderId="87" xfId="2" applyNumberFormat="1" applyFont="1" applyBorder="1" applyAlignment="1">
      <alignment horizontal="right" vertical="center" wrapText="1"/>
    </xf>
    <xf numFmtId="171" fontId="0" fillId="3" borderId="80" xfId="0" applyNumberFormat="1" applyFont="1" applyFill="1" applyBorder="1" applyAlignment="1">
      <alignment horizontal="right" vertical="center"/>
    </xf>
    <xf numFmtId="171" fontId="0" fillId="3" borderId="88" xfId="0" applyNumberFormat="1" applyFont="1" applyFill="1" applyBorder="1" applyAlignment="1">
      <alignment horizontal="right" vertical="center"/>
    </xf>
    <xf numFmtId="172" fontId="0" fillId="3" borderId="81" xfId="0" applyNumberFormat="1" applyFont="1" applyFill="1" applyBorder="1" applyAlignment="1">
      <alignment horizontal="right" vertical="center"/>
    </xf>
    <xf numFmtId="172" fontId="0" fillId="3" borderId="89" xfId="0" applyNumberFormat="1" applyFont="1" applyFill="1" applyBorder="1" applyAlignment="1">
      <alignment horizontal="right" vertical="center"/>
    </xf>
    <xf numFmtId="1" fontId="14" fillId="0" borderId="0" xfId="4" applyFont="1" applyAlignment="1" applyProtection="1">
      <alignment horizontal="right"/>
    </xf>
    <xf numFmtId="1" fontId="10" fillId="0" borderId="61" xfId="4" applyFont="1" applyFill="1" applyBorder="1"/>
    <xf numFmtId="1" fontId="12" fillId="0" borderId="61" xfId="4" applyFont="1" applyFill="1" applyBorder="1" applyAlignment="1">
      <alignment horizontal="center"/>
    </xf>
    <xf numFmtId="16" fontId="11" fillId="7" borderId="58" xfId="4" applyNumberFormat="1" applyFont="1" applyFill="1" applyBorder="1" applyAlignment="1">
      <alignment horizontal="right"/>
    </xf>
    <xf numFmtId="16" fontId="11" fillId="7" borderId="59" xfId="4" applyNumberFormat="1" applyFont="1" applyFill="1" applyBorder="1" applyAlignment="1">
      <alignment horizontal="right"/>
    </xf>
    <xf numFmtId="1" fontId="12" fillId="7" borderId="56" xfId="4" applyFont="1" applyFill="1" applyBorder="1" applyAlignment="1">
      <alignment horizontal="right"/>
    </xf>
    <xf numFmtId="1" fontId="12" fillId="7" borderId="73" xfId="4" applyFont="1" applyFill="1" applyBorder="1" applyAlignment="1">
      <alignment horizontal="right"/>
    </xf>
    <xf numFmtId="172" fontId="2" fillId="0" borderId="0" xfId="1" applyNumberFormat="1" applyFont="1" applyAlignment="1">
      <alignment horizontal="left"/>
    </xf>
    <xf numFmtId="0" fontId="27" fillId="0" borderId="0" xfId="7" applyFont="1" applyAlignment="1">
      <alignment horizontal="left"/>
    </xf>
    <xf numFmtId="0" fontId="0" fillId="0" borderId="0" xfId="0" applyAlignment="1">
      <alignment horizontal="left"/>
    </xf>
    <xf numFmtId="0" fontId="0" fillId="0" borderId="0" xfId="0" applyAlignment="1">
      <alignment horizontal="left"/>
    </xf>
    <xf numFmtId="173" fontId="0" fillId="0" borderId="0" xfId="0" applyNumberFormat="1" applyAlignment="1">
      <alignment horizontal="left" vertical="top" wrapText="1"/>
    </xf>
    <xf numFmtId="0" fontId="0" fillId="0" borderId="0" xfId="0" applyFont="1" applyAlignment="1">
      <alignment horizontal="left" vertical="top" wrapText="1"/>
    </xf>
    <xf numFmtId="0" fontId="3" fillId="4" borderId="16" xfId="0" applyFont="1" applyFill="1" applyBorder="1" applyAlignment="1">
      <alignment horizontal="center" vertical="center"/>
    </xf>
    <xf numFmtId="0" fontId="3" fillId="4" borderId="17" xfId="0" applyFont="1" applyFill="1" applyBorder="1" applyAlignment="1">
      <alignment horizontal="center" vertical="center"/>
    </xf>
    <xf numFmtId="0" fontId="3" fillId="4" borderId="18" xfId="0" applyFont="1" applyFill="1" applyBorder="1" applyAlignment="1">
      <alignment horizontal="center" vertical="center"/>
    </xf>
    <xf numFmtId="0" fontId="3" fillId="4" borderId="30" xfId="0" applyFont="1" applyFill="1" applyBorder="1" applyAlignment="1">
      <alignment horizontal="center" vertical="center"/>
    </xf>
    <xf numFmtId="0" fontId="3" fillId="4" borderId="31" xfId="0" applyFont="1" applyFill="1" applyBorder="1" applyAlignment="1">
      <alignment horizontal="center" vertical="center"/>
    </xf>
    <xf numFmtId="0" fontId="3" fillId="4" borderId="3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6" xfId="0" applyFont="1" applyFill="1" applyBorder="1" applyAlignment="1">
      <alignment horizontal="center" vertical="center"/>
    </xf>
    <xf numFmtId="0" fontId="1" fillId="4" borderId="42" xfId="0" applyFont="1" applyFill="1" applyBorder="1" applyAlignment="1">
      <alignment horizontal="center" vertical="center"/>
    </xf>
    <xf numFmtId="0" fontId="1" fillId="4" borderId="17" xfId="0" applyFont="1" applyFill="1" applyBorder="1" applyAlignment="1">
      <alignment horizontal="center" vertical="center"/>
    </xf>
    <xf numFmtId="0" fontId="1" fillId="4" borderId="50" xfId="0" applyFont="1" applyFill="1" applyBorder="1" applyAlignment="1">
      <alignment horizontal="center" vertical="center"/>
    </xf>
    <xf numFmtId="0" fontId="1" fillId="4" borderId="43" xfId="0" applyFont="1" applyFill="1" applyBorder="1" applyAlignment="1">
      <alignment horizontal="center" vertical="center"/>
    </xf>
    <xf numFmtId="1" fontId="13" fillId="0" borderId="0" xfId="4" applyFont="1" applyAlignment="1" applyProtection="1">
      <alignment horizontal="right"/>
    </xf>
    <xf numFmtId="1" fontId="20" fillId="0" borderId="0" xfId="4" applyFont="1" applyAlignment="1" applyProtection="1">
      <alignment horizontal="right"/>
    </xf>
    <xf numFmtId="1" fontId="18" fillId="0" borderId="0" xfId="4" applyFont="1" applyAlignment="1" applyProtection="1">
      <alignment horizontal="right"/>
    </xf>
    <xf numFmtId="0" fontId="17" fillId="0" borderId="76" xfId="6" applyNumberFormat="1" applyFont="1" applyBorder="1" applyAlignment="1">
      <alignment horizontal="left" vertical="top" wrapText="1"/>
    </xf>
    <xf numFmtId="0" fontId="17" fillId="2" borderId="76" xfId="6" applyNumberFormat="1" applyFont="1" applyFill="1" applyBorder="1" applyAlignment="1">
      <alignment horizontal="left" vertical="top" wrapText="1"/>
    </xf>
  </cellXfs>
  <cellStyles count="8">
    <cellStyle name="Comma" xfId="3" builtinId="3"/>
    <cellStyle name="Currency" xfId="1" builtinId="4"/>
    <cellStyle name="Currency 2" xfId="5" xr:uid="{00000000-0005-0000-0000-000002000000}"/>
    <cellStyle name="Hyperlink" xfId="7" builtinId="8" customBuiltin="1"/>
    <cellStyle name="Normal" xfId="0" builtinId="0"/>
    <cellStyle name="Normal 10" xfId="6" xr:uid="{00000000-0005-0000-0000-000005000000}"/>
    <cellStyle name="Normal 2" xfId="4" xr:uid="{00000000-0005-0000-0000-000006000000}"/>
    <cellStyle name="Percent" xfId="2" builtinId="5"/>
  </cellStyles>
  <dxfs count="26">
    <dxf>
      <font>
        <color rgb="FF9C0006"/>
      </font>
    </dxf>
    <dxf>
      <font>
        <color theme="5"/>
      </font>
    </dxf>
    <dxf>
      <font>
        <color rgb="FF9C0006"/>
      </font>
    </dxf>
    <dxf>
      <font>
        <color theme="5"/>
      </font>
    </dxf>
    <dxf>
      <font>
        <color rgb="FF9C0006"/>
      </font>
    </dxf>
    <dxf>
      <font>
        <color theme="5"/>
      </font>
    </dxf>
    <dxf>
      <font>
        <color rgb="FF9C0006"/>
      </font>
    </dxf>
    <dxf>
      <font>
        <color theme="5"/>
      </font>
    </dxf>
    <dxf>
      <font>
        <color rgb="FF9C0006"/>
      </font>
    </dxf>
    <dxf>
      <font>
        <color theme="5"/>
      </font>
    </dxf>
    <dxf>
      <font>
        <color rgb="FF9C0006"/>
      </font>
    </dxf>
    <dxf>
      <font>
        <color theme="5"/>
      </font>
    </dxf>
    <dxf>
      <font>
        <color rgb="FF9C0006"/>
      </font>
    </dxf>
    <dxf>
      <font>
        <color theme="5"/>
      </font>
    </dxf>
    <dxf>
      <font>
        <color rgb="FF9C0006"/>
      </font>
    </dxf>
    <dxf>
      <font>
        <color theme="5"/>
      </font>
    </dxf>
    <dxf>
      <font>
        <color rgb="FF9C0006"/>
      </font>
    </dxf>
    <dxf>
      <font>
        <color theme="5"/>
      </font>
    </dxf>
    <dxf>
      <font>
        <color rgb="FF9C0006"/>
      </font>
    </dxf>
    <dxf>
      <font>
        <color theme="5"/>
      </font>
    </dxf>
    <dxf>
      <font>
        <color rgb="FF9C0006"/>
      </font>
    </dxf>
    <dxf>
      <font>
        <color theme="5"/>
      </font>
    </dxf>
    <dxf>
      <font>
        <color rgb="FF9C0006"/>
      </font>
    </dxf>
    <dxf>
      <font>
        <color theme="5"/>
      </font>
    </dxf>
    <dxf>
      <font>
        <color rgb="FF9C0006"/>
      </font>
    </dxf>
    <dxf>
      <font>
        <color theme="5"/>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r>
              <a:rPr lang="en-US" sz="1200">
                <a:solidFill>
                  <a:schemeClr val="tx1"/>
                </a:solidFill>
              </a:rPr>
              <a:t>EPS</a:t>
            </a:r>
          </a:p>
        </c:rich>
      </c:tx>
      <c:layout>
        <c:manualLayout>
          <c:xMode val="edge"/>
          <c:yMode val="edge"/>
          <c:x val="1.0397860830338927E-3"/>
          <c:y val="3.4995625546806669E-4"/>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title>
    <c:autoTitleDeleted val="0"/>
    <c:plotArea>
      <c:layout>
        <c:manualLayout>
          <c:layoutTarget val="inner"/>
          <c:xMode val="edge"/>
          <c:yMode val="edge"/>
          <c:x val="0.14180015207596258"/>
          <c:y val="0.13365855383608874"/>
          <c:w val="0.85076119674984774"/>
          <c:h val="0.76120701882786079"/>
        </c:manualLayout>
      </c:layout>
      <c:barChart>
        <c:barDir val="col"/>
        <c:grouping val="clustered"/>
        <c:varyColors val="0"/>
        <c:ser>
          <c:idx val="0"/>
          <c:order val="0"/>
          <c:tx>
            <c:strRef>
              <c:f>Profile!$P$5</c:f>
              <c:strCache>
                <c:ptCount val="1"/>
                <c:pt idx="0">
                  <c:v>dilutedeps</c:v>
                </c:pt>
              </c:strCache>
            </c:strRef>
          </c:tx>
          <c:spPr>
            <a:gradFill rotWithShape="1">
              <a:gsLst>
                <a:gs pos="0">
                  <a:schemeClr val="accent1">
                    <a:tint val="96000"/>
                    <a:lumMod val="100000"/>
                  </a:schemeClr>
                </a:gs>
                <a:gs pos="78000">
                  <a:schemeClr val="accent1">
                    <a:shade val="94000"/>
                    <a:lumMod val="94000"/>
                  </a:schemeClr>
                </a:gs>
              </a:gsLst>
              <a:lin ang="5400000" scaled="0"/>
            </a:gradFill>
            <a:ln>
              <a:noFill/>
            </a:ln>
            <a:effectLst>
              <a:outerShdw blurRad="38100" dist="25400" dir="5400000" rotWithShape="0">
                <a:srgbClr val="000000">
                  <a:alpha val="35000"/>
                </a:srgbClr>
              </a:outerShdw>
            </a:effectLst>
          </c:spPr>
          <c:invertIfNegative val="0"/>
          <c:dPt>
            <c:idx val="5"/>
            <c:invertIfNegative val="0"/>
            <c:bubble3D val="0"/>
            <c:spPr>
              <a:solidFill>
                <a:schemeClr val="accent2"/>
              </a:solidFill>
              <a:ln>
                <a:noFill/>
              </a:ln>
              <a:effectLst>
                <a:outerShdw blurRad="38100" dist="25400" dir="5400000" rotWithShape="0">
                  <a:srgbClr val="000000">
                    <a:alpha val="35000"/>
                  </a:srgbClr>
                </a:outerShdw>
              </a:effectLst>
            </c:spPr>
            <c:extLst>
              <c:ext xmlns:c16="http://schemas.microsoft.com/office/drawing/2014/chart" uri="{C3380CC4-5D6E-409C-BE32-E72D297353CC}">
                <c16:uniqueId val="{00000001-B1F1-43CD-BEE0-DFFBA25DE8A7}"/>
              </c:ext>
            </c:extLst>
          </c:dPt>
          <c:dPt>
            <c:idx val="6"/>
            <c:invertIfNegative val="0"/>
            <c:bubble3D val="0"/>
            <c:spPr>
              <a:solidFill>
                <a:schemeClr val="accent2"/>
              </a:solidFill>
              <a:ln>
                <a:noFill/>
              </a:ln>
              <a:effectLst>
                <a:outerShdw blurRad="38100" dist="25400" dir="5400000" rotWithShape="0">
                  <a:srgbClr val="000000">
                    <a:alpha val="35000"/>
                  </a:srgbClr>
                </a:outerShdw>
              </a:effectLst>
            </c:spPr>
            <c:extLst>
              <c:ext xmlns:c16="http://schemas.microsoft.com/office/drawing/2014/chart" uri="{C3380CC4-5D6E-409C-BE32-E72D297353CC}">
                <c16:uniqueId val="{00000003-B1F1-43CD-BEE0-DFFBA25DE8A7}"/>
              </c:ext>
            </c:extLst>
          </c:dPt>
          <c:cat>
            <c:strRef>
              <c:f>Profile!$P$7:$V$7</c:f>
              <c:strCache>
                <c:ptCount val="7"/>
                <c:pt idx="0">
                  <c:v>2014</c:v>
                </c:pt>
                <c:pt idx="1">
                  <c:v>2015</c:v>
                </c:pt>
                <c:pt idx="2">
                  <c:v>2016</c:v>
                </c:pt>
                <c:pt idx="3">
                  <c:v>2017</c:v>
                </c:pt>
                <c:pt idx="4">
                  <c:v>2018</c:v>
                </c:pt>
                <c:pt idx="5">
                  <c:v>2019E</c:v>
                </c:pt>
                <c:pt idx="6">
                  <c:v>2020E</c:v>
                </c:pt>
              </c:strCache>
            </c:strRef>
          </c:cat>
          <c:val>
            <c:numRef>
              <c:f>Profile!$P$8:$V$8</c:f>
              <c:numCache>
                <c:formatCode>_-"$"* #,##0.00_-;\-"$"* #,##0.00_-;_-"$"* "-"??_-;_-@_-</c:formatCode>
                <c:ptCount val="7"/>
                <c:pt idx="0">
                  <c:v>6.45</c:v>
                </c:pt>
                <c:pt idx="1">
                  <c:v>9.2200000000000006</c:v>
                </c:pt>
                <c:pt idx="2">
                  <c:v>8.31</c:v>
                </c:pt>
                <c:pt idx="3">
                  <c:v>9.2100000000000009</c:v>
                </c:pt>
                <c:pt idx="4">
                  <c:v>11.91</c:v>
                </c:pt>
                <c:pt idx="5">
                  <c:v>11.4771</c:v>
                </c:pt>
                <c:pt idx="6">
                  <c:v>12.722099999999999</c:v>
                </c:pt>
              </c:numCache>
            </c:numRef>
          </c:val>
          <c:extLst>
            <c:ext xmlns:c16="http://schemas.microsoft.com/office/drawing/2014/chart" uri="{C3380CC4-5D6E-409C-BE32-E72D297353CC}">
              <c16:uniqueId val="{00000000-B1F1-43CD-BEE0-DFFBA25DE8A7}"/>
            </c:ext>
          </c:extLst>
        </c:ser>
        <c:dLbls>
          <c:showLegendKey val="0"/>
          <c:showVal val="0"/>
          <c:showCatName val="0"/>
          <c:showSerName val="0"/>
          <c:showPercent val="0"/>
          <c:showBubbleSize val="0"/>
        </c:dLbls>
        <c:gapWidth val="49"/>
        <c:overlap val="-24"/>
        <c:axId val="362814448"/>
        <c:axId val="362812880"/>
      </c:barChart>
      <c:catAx>
        <c:axId val="36281444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62812880"/>
        <c:crosses val="autoZero"/>
        <c:auto val="1"/>
        <c:lblAlgn val="ctr"/>
        <c:lblOffset val="100"/>
        <c:noMultiLvlLbl val="1"/>
      </c:catAx>
      <c:valAx>
        <c:axId val="362812880"/>
        <c:scaling>
          <c:orientation val="minMax"/>
        </c:scaling>
        <c:delete val="0"/>
        <c:axPos val="l"/>
        <c:majorGridlines>
          <c:spPr>
            <a:ln w="9525" cap="flat" cmpd="sng" algn="ctr">
              <a:solidFill>
                <a:schemeClr val="tx2">
                  <a:lumMod val="15000"/>
                  <a:lumOff val="85000"/>
                </a:schemeClr>
              </a:solidFill>
              <a:round/>
            </a:ln>
            <a:effectLst/>
          </c:spPr>
        </c:majorGridlines>
        <c:numFmt formatCode="_-&quot;$&quot;* #,##0.00_-;\-&quot;$&quot;* #,##0.00_-;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6281444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048263597010399E-2"/>
          <c:y val="7.9884441528142322E-2"/>
          <c:w val="0.77792540872518912"/>
          <c:h val="0.81237970253718272"/>
        </c:manualLayout>
      </c:layout>
      <c:lineChart>
        <c:grouping val="standard"/>
        <c:varyColors val="0"/>
        <c:ser>
          <c:idx val="0"/>
          <c:order val="0"/>
          <c:spPr>
            <a:ln w="28575" cap="rnd">
              <a:solidFill>
                <a:schemeClr val="accent1"/>
              </a:solidFill>
              <a:round/>
            </a:ln>
            <a:effectLst/>
          </c:spPr>
          <c:marker>
            <c:symbol val="none"/>
          </c:marker>
          <c:cat>
            <c:numRef>
              <c:f>Profile!$Z$12:$Z$71</c:f>
              <c:numCache>
                <c:formatCode>m/d/yyyy</c:formatCode>
                <c:ptCount val="60"/>
                <c:pt idx="0">
                  <c:v>43592</c:v>
                </c:pt>
                <c:pt idx="1">
                  <c:v>43585</c:v>
                </c:pt>
                <c:pt idx="2">
                  <c:v>43555</c:v>
                </c:pt>
                <c:pt idx="3">
                  <c:v>43524</c:v>
                </c:pt>
                <c:pt idx="4">
                  <c:v>43496</c:v>
                </c:pt>
                <c:pt idx="5">
                  <c:v>43465</c:v>
                </c:pt>
                <c:pt idx="6">
                  <c:v>43434</c:v>
                </c:pt>
                <c:pt idx="7">
                  <c:v>43404</c:v>
                </c:pt>
                <c:pt idx="8">
                  <c:v>43373</c:v>
                </c:pt>
                <c:pt idx="9">
                  <c:v>43343</c:v>
                </c:pt>
                <c:pt idx="10">
                  <c:v>43312</c:v>
                </c:pt>
                <c:pt idx="11">
                  <c:v>43281</c:v>
                </c:pt>
                <c:pt idx="12">
                  <c:v>43251</c:v>
                </c:pt>
                <c:pt idx="13">
                  <c:v>43220</c:v>
                </c:pt>
                <c:pt idx="14">
                  <c:v>43190</c:v>
                </c:pt>
                <c:pt idx="15">
                  <c:v>43159</c:v>
                </c:pt>
                <c:pt idx="16">
                  <c:v>43131</c:v>
                </c:pt>
                <c:pt idx="17">
                  <c:v>43100</c:v>
                </c:pt>
                <c:pt idx="18">
                  <c:v>43069</c:v>
                </c:pt>
                <c:pt idx="19">
                  <c:v>43039</c:v>
                </c:pt>
                <c:pt idx="20">
                  <c:v>43008</c:v>
                </c:pt>
                <c:pt idx="21">
                  <c:v>42978</c:v>
                </c:pt>
                <c:pt idx="22">
                  <c:v>42947</c:v>
                </c:pt>
                <c:pt idx="23">
                  <c:v>42916</c:v>
                </c:pt>
                <c:pt idx="24">
                  <c:v>42886</c:v>
                </c:pt>
                <c:pt idx="25">
                  <c:v>42855</c:v>
                </c:pt>
                <c:pt idx="26">
                  <c:v>42825</c:v>
                </c:pt>
                <c:pt idx="27">
                  <c:v>42794</c:v>
                </c:pt>
                <c:pt idx="28">
                  <c:v>42766</c:v>
                </c:pt>
                <c:pt idx="29">
                  <c:v>42735</c:v>
                </c:pt>
                <c:pt idx="30">
                  <c:v>42704</c:v>
                </c:pt>
                <c:pt idx="31">
                  <c:v>42674</c:v>
                </c:pt>
                <c:pt idx="32">
                  <c:v>42643</c:v>
                </c:pt>
                <c:pt idx="33">
                  <c:v>42613</c:v>
                </c:pt>
                <c:pt idx="34">
                  <c:v>42582</c:v>
                </c:pt>
                <c:pt idx="35">
                  <c:v>42551</c:v>
                </c:pt>
                <c:pt idx="36">
                  <c:v>42521</c:v>
                </c:pt>
                <c:pt idx="37">
                  <c:v>42490</c:v>
                </c:pt>
                <c:pt idx="38">
                  <c:v>42460</c:v>
                </c:pt>
                <c:pt idx="39">
                  <c:v>42429</c:v>
                </c:pt>
                <c:pt idx="40">
                  <c:v>42400</c:v>
                </c:pt>
                <c:pt idx="41">
                  <c:v>42369</c:v>
                </c:pt>
                <c:pt idx="42">
                  <c:v>42338</c:v>
                </c:pt>
                <c:pt idx="43">
                  <c:v>42308</c:v>
                </c:pt>
                <c:pt idx="44">
                  <c:v>42277</c:v>
                </c:pt>
                <c:pt idx="45">
                  <c:v>42247</c:v>
                </c:pt>
                <c:pt idx="46">
                  <c:v>42216</c:v>
                </c:pt>
                <c:pt idx="47">
                  <c:v>42185</c:v>
                </c:pt>
                <c:pt idx="48">
                  <c:v>42155</c:v>
                </c:pt>
                <c:pt idx="49">
                  <c:v>42124</c:v>
                </c:pt>
                <c:pt idx="50">
                  <c:v>42094</c:v>
                </c:pt>
                <c:pt idx="51">
                  <c:v>42063</c:v>
                </c:pt>
                <c:pt idx="52">
                  <c:v>42035</c:v>
                </c:pt>
                <c:pt idx="53">
                  <c:v>42004</c:v>
                </c:pt>
                <c:pt idx="54">
                  <c:v>41973</c:v>
                </c:pt>
                <c:pt idx="55">
                  <c:v>41943</c:v>
                </c:pt>
                <c:pt idx="56">
                  <c:v>41912</c:v>
                </c:pt>
                <c:pt idx="57">
                  <c:v>41882</c:v>
                </c:pt>
                <c:pt idx="58">
                  <c:v>41851</c:v>
                </c:pt>
                <c:pt idx="59">
                  <c:v>41820</c:v>
                </c:pt>
              </c:numCache>
            </c:numRef>
          </c:cat>
          <c:val>
            <c:numRef>
              <c:f>Profile!$AA$12:$AA$71</c:f>
              <c:numCache>
                <c:formatCode>_-"$"* #,##0.00_-;\-"$"* #,##0.00_-;_-"$"* "-"??_-;_-@_-</c:formatCode>
                <c:ptCount val="60"/>
                <c:pt idx="0">
                  <c:v>202.86</c:v>
                </c:pt>
                <c:pt idx="1">
                  <c:v>200.67</c:v>
                </c:pt>
                <c:pt idx="2">
                  <c:v>189.95</c:v>
                </c:pt>
                <c:pt idx="3">
                  <c:v>173.15</c:v>
                </c:pt>
                <c:pt idx="4">
                  <c:v>165.72919999999999</c:v>
                </c:pt>
                <c:pt idx="5">
                  <c:v>157.06639999999999</c:v>
                </c:pt>
                <c:pt idx="6">
                  <c:v>177.81739999999999</c:v>
                </c:pt>
                <c:pt idx="7">
                  <c:v>217.16759999999999</c:v>
                </c:pt>
                <c:pt idx="8">
                  <c:v>223.99440000000001</c:v>
                </c:pt>
                <c:pt idx="9">
                  <c:v>225.8698</c:v>
                </c:pt>
                <c:pt idx="10">
                  <c:v>188.15870000000001</c:v>
                </c:pt>
                <c:pt idx="11">
                  <c:v>183.0367</c:v>
                </c:pt>
                <c:pt idx="12">
                  <c:v>184.77699999999999</c:v>
                </c:pt>
                <c:pt idx="13">
                  <c:v>162.78129999999999</c:v>
                </c:pt>
                <c:pt idx="14">
                  <c:v>165.26349999999999</c:v>
                </c:pt>
                <c:pt idx="15">
                  <c:v>175.44839999999999</c:v>
                </c:pt>
                <c:pt idx="16">
                  <c:v>164.2491</c:v>
                </c:pt>
                <c:pt idx="17">
                  <c:v>166.01490000000001</c:v>
                </c:pt>
                <c:pt idx="18">
                  <c:v>168.58510000000001</c:v>
                </c:pt>
                <c:pt idx="19">
                  <c:v>165.2345</c:v>
                </c:pt>
                <c:pt idx="20">
                  <c:v>150.65039999999999</c:v>
                </c:pt>
                <c:pt idx="21">
                  <c:v>160.30799999999999</c:v>
                </c:pt>
                <c:pt idx="22">
                  <c:v>144.81309999999999</c:v>
                </c:pt>
                <c:pt idx="23">
                  <c:v>140.22710000000001</c:v>
                </c:pt>
                <c:pt idx="24">
                  <c:v>148.73689999999999</c:v>
                </c:pt>
                <c:pt idx="25">
                  <c:v>139.2919</c:v>
                </c:pt>
                <c:pt idx="26">
                  <c:v>139.30160000000001</c:v>
                </c:pt>
                <c:pt idx="27">
                  <c:v>132.834</c:v>
                </c:pt>
                <c:pt idx="28">
                  <c:v>117.1605</c:v>
                </c:pt>
                <c:pt idx="29">
                  <c:v>111.8214</c:v>
                </c:pt>
                <c:pt idx="30">
                  <c:v>106.70440000000001</c:v>
                </c:pt>
                <c:pt idx="31">
                  <c:v>109.06019999999999</c:v>
                </c:pt>
                <c:pt idx="32">
                  <c:v>108.5895</c:v>
                </c:pt>
                <c:pt idx="33">
                  <c:v>101.91370000000001</c:v>
                </c:pt>
                <c:pt idx="34">
                  <c:v>99.558999999999997</c:v>
                </c:pt>
                <c:pt idx="35">
                  <c:v>91.333200000000005</c:v>
                </c:pt>
                <c:pt idx="36">
                  <c:v>95.403099999999995</c:v>
                </c:pt>
                <c:pt idx="37">
                  <c:v>89.014300000000006</c:v>
                </c:pt>
                <c:pt idx="38">
                  <c:v>103.49550000000001</c:v>
                </c:pt>
                <c:pt idx="39">
                  <c:v>91.815600000000003</c:v>
                </c:pt>
                <c:pt idx="40">
                  <c:v>91.933999999999997</c:v>
                </c:pt>
                <c:pt idx="41">
                  <c:v>99.414100000000005</c:v>
                </c:pt>
                <c:pt idx="42">
                  <c:v>111.7299</c:v>
                </c:pt>
                <c:pt idx="43">
                  <c:v>112.3822</c:v>
                </c:pt>
                <c:pt idx="44">
                  <c:v>103.401</c:v>
                </c:pt>
                <c:pt idx="45">
                  <c:v>106.0436</c:v>
                </c:pt>
                <c:pt idx="46">
                  <c:v>113.5609</c:v>
                </c:pt>
                <c:pt idx="47">
                  <c:v>117.4228</c:v>
                </c:pt>
                <c:pt idx="48">
                  <c:v>121.968</c:v>
                </c:pt>
                <c:pt idx="49">
                  <c:v>116.67789999999999</c:v>
                </c:pt>
                <c:pt idx="50">
                  <c:v>116.0067</c:v>
                </c:pt>
                <c:pt idx="51">
                  <c:v>119.76390000000001</c:v>
                </c:pt>
                <c:pt idx="52">
                  <c:v>108.79940000000001</c:v>
                </c:pt>
                <c:pt idx="53">
                  <c:v>102.5033</c:v>
                </c:pt>
                <c:pt idx="54">
                  <c:v>110.4431</c:v>
                </c:pt>
                <c:pt idx="55">
                  <c:v>99.860100000000003</c:v>
                </c:pt>
                <c:pt idx="56">
                  <c:v>93.156499999999994</c:v>
                </c:pt>
                <c:pt idx="57">
                  <c:v>94.774600000000007</c:v>
                </c:pt>
                <c:pt idx="58">
                  <c:v>87.9572</c:v>
                </c:pt>
                <c:pt idx="59">
                  <c:v>85.500600000000006</c:v>
                </c:pt>
              </c:numCache>
            </c:numRef>
          </c:val>
          <c:smooth val="0"/>
          <c:extLst>
            <c:ext xmlns:c16="http://schemas.microsoft.com/office/drawing/2014/chart" uri="{C3380CC4-5D6E-409C-BE32-E72D297353CC}">
              <c16:uniqueId val="{00000000-0BA7-4C8C-B5EB-AD5538557F4B}"/>
            </c:ext>
          </c:extLst>
        </c:ser>
        <c:dLbls>
          <c:showLegendKey val="0"/>
          <c:showVal val="0"/>
          <c:showCatName val="0"/>
          <c:showSerName val="0"/>
          <c:showPercent val="0"/>
          <c:showBubbleSize val="0"/>
        </c:dLbls>
        <c:smooth val="0"/>
        <c:axId val="949076880"/>
        <c:axId val="949070224"/>
      </c:lineChart>
      <c:dateAx>
        <c:axId val="949076880"/>
        <c:scaling>
          <c:orientation val="minMax"/>
        </c:scaling>
        <c:delete val="0"/>
        <c:axPos val="b"/>
        <c:numFmt formatCode="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9070224"/>
        <c:crosses val="autoZero"/>
        <c:auto val="1"/>
        <c:lblOffset val="100"/>
        <c:baseTimeUnit val="days"/>
        <c:majorUnit val="6"/>
        <c:majorTimeUnit val="months"/>
      </c:dateAx>
      <c:valAx>
        <c:axId val="949070224"/>
        <c:scaling>
          <c:orientation val="minMax"/>
        </c:scaling>
        <c:delete val="0"/>
        <c:axPos val="r"/>
        <c:majorGridlines>
          <c:spPr>
            <a:ln w="9525" cap="flat" cmpd="sng" algn="ctr">
              <a:solidFill>
                <a:schemeClr val="tx1">
                  <a:lumMod val="15000"/>
                  <a:lumOff val="85000"/>
                </a:schemeClr>
              </a:solidFill>
              <a:round/>
            </a:ln>
            <a:effectLst/>
          </c:spPr>
        </c:majorGridlines>
        <c:numFmt formatCode="_-&quot;$&quot;* #,##0.00_-;\-&quot;$&quot;* #,##0.00_-;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9076880"/>
        <c:crosses val="max"/>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r>
              <a:rPr lang="en-US" sz="1200">
                <a:solidFill>
                  <a:schemeClr val="tx1"/>
                </a:solidFill>
              </a:rPr>
              <a:t>Revenue Growth &amp; Profit Margin</a:t>
            </a:r>
          </a:p>
        </c:rich>
      </c:tx>
      <c:layout>
        <c:manualLayout>
          <c:xMode val="edge"/>
          <c:yMode val="edge"/>
          <c:x val="9.26052773722421E-4"/>
          <c:y val="0"/>
        </c:manualLayout>
      </c:layout>
      <c:overlay val="1"/>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title>
    <c:autoTitleDeleted val="0"/>
    <c:plotArea>
      <c:layout>
        <c:manualLayout>
          <c:layoutTarget val="inner"/>
          <c:xMode val="edge"/>
          <c:yMode val="edge"/>
          <c:x val="5.4118712781597592E-2"/>
          <c:y val="0.15132126211906008"/>
          <c:w val="0.89185236124454104"/>
          <c:h val="0.66534700787137657"/>
        </c:manualLayout>
      </c:layout>
      <c:barChart>
        <c:barDir val="col"/>
        <c:grouping val="clustered"/>
        <c:varyColors val="0"/>
        <c:ser>
          <c:idx val="1"/>
          <c:order val="1"/>
          <c:tx>
            <c:v>Profit Margin (lhs)</c:v>
          </c:tx>
          <c:spPr>
            <a:gradFill rotWithShape="1">
              <a:gsLst>
                <a:gs pos="0">
                  <a:schemeClr val="accent2">
                    <a:tint val="96000"/>
                    <a:lumMod val="100000"/>
                  </a:schemeClr>
                </a:gs>
                <a:gs pos="78000">
                  <a:schemeClr val="accent2">
                    <a:shade val="94000"/>
                    <a:lumMod val="94000"/>
                  </a:schemeClr>
                </a:gs>
              </a:gsLst>
              <a:lin ang="5400000" scaled="0"/>
            </a:gra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invertIfNegative val="0"/>
          <c:cat>
            <c:strRef>
              <c:f>'Income Metrics'!$C$4:$G$4</c:f>
              <c:strCache>
                <c:ptCount val="5"/>
                <c:pt idx="0">
                  <c:v>FY 2015</c:v>
                </c:pt>
                <c:pt idx="1">
                  <c:v>FY 2016</c:v>
                </c:pt>
                <c:pt idx="2">
                  <c:v>FY 2017</c:v>
                </c:pt>
                <c:pt idx="3">
                  <c:v>FY 2018</c:v>
                </c:pt>
                <c:pt idx="4">
                  <c:v>Q2TTM 2019</c:v>
                </c:pt>
              </c:strCache>
            </c:strRef>
          </c:cat>
          <c:val>
            <c:numRef>
              <c:f>'Income Metrics'!$C$16:$G$16</c:f>
              <c:numCache>
                <c:formatCode>0.0%</c:formatCode>
                <c:ptCount val="5"/>
                <c:pt idx="0">
                  <c:v>0.22845799999999999</c:v>
                </c:pt>
                <c:pt idx="1">
                  <c:v>0.211868</c:v>
                </c:pt>
                <c:pt idx="2">
                  <c:v>0.210924</c:v>
                </c:pt>
                <c:pt idx="3">
                  <c:v>0.22414200000000001</c:v>
                </c:pt>
                <c:pt idx="4">
                  <c:v>0.22528500000000001</c:v>
                </c:pt>
              </c:numCache>
            </c:numRef>
          </c:val>
          <c:extLst>
            <c:ext xmlns:c16="http://schemas.microsoft.com/office/drawing/2014/chart" uri="{C3380CC4-5D6E-409C-BE32-E72D297353CC}">
              <c16:uniqueId val="{00000001-00C1-4CF1-98B4-F73B697686E1}"/>
            </c:ext>
          </c:extLst>
        </c:ser>
        <c:dLbls>
          <c:showLegendKey val="0"/>
          <c:showVal val="0"/>
          <c:showCatName val="0"/>
          <c:showSerName val="0"/>
          <c:showPercent val="0"/>
          <c:showBubbleSize val="0"/>
        </c:dLbls>
        <c:gapWidth val="100"/>
        <c:axId val="1343365231"/>
        <c:axId val="1343366479"/>
      </c:barChart>
      <c:lineChart>
        <c:grouping val="standard"/>
        <c:varyColors val="0"/>
        <c:ser>
          <c:idx val="0"/>
          <c:order val="0"/>
          <c:tx>
            <c:v>Revenue Growth (rhs)</c:v>
          </c:tx>
          <c:spPr>
            <a:ln w="34925" cap="rnd">
              <a:solidFill>
                <a:schemeClr val="accent1"/>
              </a:solidFill>
              <a:round/>
            </a:ln>
            <a:effectLst>
              <a:outerShdw blurRad="50800" dist="38100" dir="5400000" rotWithShape="0">
                <a:srgbClr val="000000">
                  <a:alpha val="35000"/>
                </a:srgbClr>
              </a:outerShdw>
            </a:effectLst>
          </c:spPr>
          <c:marker>
            <c:symbol val="none"/>
          </c:marker>
          <c:cat>
            <c:strRef>
              <c:f>'Income Metrics'!$C$4:$G$4</c:f>
              <c:strCache>
                <c:ptCount val="5"/>
                <c:pt idx="0">
                  <c:v>FY 2015</c:v>
                </c:pt>
                <c:pt idx="1">
                  <c:v>FY 2016</c:v>
                </c:pt>
                <c:pt idx="2">
                  <c:v>FY 2017</c:v>
                </c:pt>
                <c:pt idx="3">
                  <c:v>FY 2018</c:v>
                </c:pt>
                <c:pt idx="4">
                  <c:v>Q2TTM 2019</c:v>
                </c:pt>
              </c:strCache>
            </c:strRef>
          </c:cat>
          <c:val>
            <c:numRef>
              <c:f>'Income Metrics'!$C$6:$G$6</c:f>
              <c:numCache>
                <c:formatCode>0.0%</c:formatCode>
                <c:ptCount val="5"/>
                <c:pt idx="0">
                  <c:v>0.27856300000000001</c:v>
                </c:pt>
                <c:pt idx="1">
                  <c:v>-7.7341999999999994E-2</c:v>
                </c:pt>
                <c:pt idx="2">
                  <c:v>6.3045000000000004E-2</c:v>
                </c:pt>
                <c:pt idx="3">
                  <c:v>0.15862000000000001</c:v>
                </c:pt>
                <c:pt idx="4">
                  <c:v>-0.15043699999999999</c:v>
                </c:pt>
              </c:numCache>
            </c:numRef>
          </c:val>
          <c:smooth val="0"/>
          <c:extLst>
            <c:ext xmlns:c16="http://schemas.microsoft.com/office/drawing/2014/chart" uri="{C3380CC4-5D6E-409C-BE32-E72D297353CC}">
              <c16:uniqueId val="{00000000-00C1-4CF1-98B4-F73B697686E1}"/>
            </c:ext>
          </c:extLst>
        </c:ser>
        <c:dLbls>
          <c:showLegendKey val="0"/>
          <c:showVal val="0"/>
          <c:showCatName val="0"/>
          <c:showSerName val="0"/>
          <c:showPercent val="0"/>
          <c:showBubbleSize val="0"/>
        </c:dLbls>
        <c:marker val="1"/>
        <c:smooth val="0"/>
        <c:axId val="1345596287"/>
        <c:axId val="1345610431"/>
      </c:lineChart>
      <c:catAx>
        <c:axId val="1343365231"/>
        <c:scaling>
          <c:orientation val="minMax"/>
        </c:scaling>
        <c:delete val="0"/>
        <c:axPos val="b"/>
        <c:numFmt formatCode="General" sourceLinked="1"/>
        <c:majorTickMark val="none"/>
        <c:minorTickMark val="none"/>
        <c:tickLblPos val="low"/>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3366479"/>
        <c:crosses val="autoZero"/>
        <c:auto val="1"/>
        <c:lblAlgn val="ctr"/>
        <c:lblOffset val="100"/>
        <c:noMultiLvlLbl val="0"/>
      </c:catAx>
      <c:valAx>
        <c:axId val="13433664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Profit Margin</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3365231"/>
        <c:crosses val="autoZero"/>
        <c:crossBetween val="between"/>
      </c:valAx>
      <c:valAx>
        <c:axId val="1345610431"/>
        <c:scaling>
          <c:orientation val="minMax"/>
        </c:scaling>
        <c:delete val="0"/>
        <c:axPos val="r"/>
        <c:title>
          <c:tx>
            <c:rich>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Revenue Growth</a:t>
                </a:r>
              </a:p>
            </c:rich>
          </c:tx>
          <c:overlay val="0"/>
          <c:spPr>
            <a:noFill/>
            <a:ln>
              <a:noFill/>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596287"/>
        <c:crosses val="max"/>
        <c:crossBetween val="between"/>
      </c:valAx>
      <c:catAx>
        <c:axId val="1345596287"/>
        <c:scaling>
          <c:orientation val="minMax"/>
        </c:scaling>
        <c:delete val="1"/>
        <c:axPos val="b"/>
        <c:numFmt formatCode="General" sourceLinked="1"/>
        <c:majorTickMark val="none"/>
        <c:minorTickMark val="none"/>
        <c:tickLblPos val="nextTo"/>
        <c:crossAx val="1345610431"/>
        <c:crosses val="autoZero"/>
        <c:auto val="1"/>
        <c:lblAlgn val="ctr"/>
        <c:lblOffset val="100"/>
        <c:noMultiLvlLbl val="0"/>
      </c:catAx>
      <c:spPr>
        <a:noFill/>
        <a:ln>
          <a:noFill/>
        </a:ln>
        <a:effectLst/>
      </c:spPr>
    </c:plotArea>
    <c:legend>
      <c:legendPos val="b"/>
      <c:layout>
        <c:manualLayout>
          <c:xMode val="edge"/>
          <c:yMode val="edge"/>
          <c:x val="0.33392583155348743"/>
          <c:y val="0.90311127498798138"/>
          <c:w val="0.33214823239598446"/>
          <c:h val="9.036086102404072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r>
              <a:rPr lang="en-US" sz="1200">
                <a:solidFill>
                  <a:schemeClr val="tx1"/>
                </a:solidFill>
              </a:rPr>
              <a:t>Return on Investment</a:t>
            </a:r>
          </a:p>
        </c:rich>
      </c:tx>
      <c:layout>
        <c:manualLayout>
          <c:xMode val="edge"/>
          <c:yMode val="edge"/>
          <c:x val="1.3390716744652814E-2"/>
          <c:y val="0"/>
        </c:manualLayout>
      </c:layout>
      <c:overlay val="1"/>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title>
    <c:autoTitleDeleted val="0"/>
    <c:plotArea>
      <c:layout>
        <c:manualLayout>
          <c:layoutTarget val="inner"/>
          <c:xMode val="edge"/>
          <c:yMode val="edge"/>
          <c:x val="8.0341343342104465E-2"/>
          <c:y val="0.13003601764512648"/>
          <c:w val="0.90607175698167752"/>
          <c:h val="0.68131088138479379"/>
        </c:manualLayout>
      </c:layout>
      <c:barChart>
        <c:barDir val="col"/>
        <c:grouping val="clustered"/>
        <c:varyColors val="0"/>
        <c:ser>
          <c:idx val="5"/>
          <c:order val="0"/>
          <c:tx>
            <c:v>ROIC</c:v>
          </c:tx>
          <c:spPr>
            <a:solidFill>
              <a:schemeClr val="accent1"/>
            </a:soli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invertIfNegative val="0"/>
          <c:cat>
            <c:strRef>
              <c:f>'ROIC Metrics'!$C$4:$G$4</c:f>
              <c:strCache>
                <c:ptCount val="5"/>
                <c:pt idx="0">
                  <c:v>FY 2015</c:v>
                </c:pt>
                <c:pt idx="1">
                  <c:v>FY 2016</c:v>
                </c:pt>
                <c:pt idx="2">
                  <c:v>FY 2017</c:v>
                </c:pt>
                <c:pt idx="3">
                  <c:v>FY 2018</c:v>
                </c:pt>
                <c:pt idx="4">
                  <c:v>Q2TTM 2019</c:v>
                </c:pt>
              </c:strCache>
            </c:strRef>
          </c:cat>
          <c:val>
            <c:numRef>
              <c:f>'ROIC Metrics'!$C$8:$G$8</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5-DA21-41AC-965B-8596363BF1A1}"/>
            </c:ext>
          </c:extLst>
        </c:ser>
        <c:ser>
          <c:idx val="0"/>
          <c:order val="1"/>
          <c:tx>
            <c:v>ROE</c:v>
          </c:tx>
          <c:spPr>
            <a:solidFill>
              <a:schemeClr val="accent3"/>
            </a:soli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invertIfNegative val="0"/>
          <c:cat>
            <c:strRef>
              <c:f>'ROIC Metrics'!$C$4:$G$4</c:f>
              <c:strCache>
                <c:ptCount val="5"/>
                <c:pt idx="0">
                  <c:v>FY 2015</c:v>
                </c:pt>
                <c:pt idx="1">
                  <c:v>FY 2016</c:v>
                </c:pt>
                <c:pt idx="2">
                  <c:v>FY 2017</c:v>
                </c:pt>
                <c:pt idx="3">
                  <c:v>FY 2018</c:v>
                </c:pt>
                <c:pt idx="4">
                  <c:v>Q2TTM 2019</c:v>
                </c:pt>
              </c:strCache>
            </c:strRef>
          </c:cat>
          <c:val>
            <c:numRef>
              <c:f>'ROIC Metrics'!$C$15:$G$15</c:f>
              <c:numCache>
                <c:formatCode>0.0%</c:formatCode>
                <c:ptCount val="5"/>
                <c:pt idx="0">
                  <c:v>0.462482</c:v>
                </c:pt>
                <c:pt idx="1">
                  <c:v>0.369033</c:v>
                </c:pt>
                <c:pt idx="2">
                  <c:v>0.36867499999999997</c:v>
                </c:pt>
                <c:pt idx="3">
                  <c:v>0.49363600000000002</c:v>
                </c:pt>
                <c:pt idx="4">
                  <c:v>0.491282</c:v>
                </c:pt>
              </c:numCache>
            </c:numRef>
          </c:val>
          <c:extLst>
            <c:ext xmlns:c16="http://schemas.microsoft.com/office/drawing/2014/chart" uri="{C3380CC4-5D6E-409C-BE32-E72D297353CC}">
              <c16:uniqueId val="{00000000-0023-4DBE-A90E-194C032BBBDC}"/>
            </c:ext>
          </c:extLst>
        </c:ser>
        <c:dLbls>
          <c:showLegendKey val="0"/>
          <c:showVal val="0"/>
          <c:showCatName val="0"/>
          <c:showSerName val="0"/>
          <c:showPercent val="0"/>
          <c:showBubbleSize val="0"/>
        </c:dLbls>
        <c:gapWidth val="150"/>
        <c:axId val="1343365231"/>
        <c:axId val="1343366479"/>
      </c:barChart>
      <c:catAx>
        <c:axId val="1343365231"/>
        <c:scaling>
          <c:orientation val="minMax"/>
        </c:scaling>
        <c:delete val="0"/>
        <c:axPos val="b"/>
        <c:numFmt formatCode="General" sourceLinked="1"/>
        <c:majorTickMark val="none"/>
        <c:minorTickMark val="none"/>
        <c:tickLblPos val="low"/>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3366479"/>
        <c:crosses val="autoZero"/>
        <c:auto val="1"/>
        <c:lblAlgn val="ctr"/>
        <c:lblOffset val="100"/>
        <c:noMultiLvlLbl val="0"/>
      </c:catAx>
      <c:valAx>
        <c:axId val="134336647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3365231"/>
        <c:crosses val="autoZero"/>
        <c:crossBetween val="between"/>
      </c:valAx>
      <c:spPr>
        <a:noFill/>
        <a:ln>
          <a:noFill/>
        </a:ln>
        <a:effectLst/>
      </c:spPr>
    </c:plotArea>
    <c:legend>
      <c:legendPos val="b"/>
      <c:layout>
        <c:manualLayout>
          <c:xMode val="edge"/>
          <c:yMode val="edge"/>
          <c:x val="0.38919927622683526"/>
          <c:y val="0.90845278955515174"/>
          <c:w val="0.15996436712871503"/>
          <c:h val="5.7316640150998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r>
              <a:rPr lang="en-US" sz="1200">
                <a:solidFill>
                  <a:schemeClr val="tx1"/>
                </a:solidFill>
              </a:rPr>
              <a:t>NOPAT &amp; Invested Capital Turnover</a:t>
            </a:r>
          </a:p>
        </c:rich>
      </c:tx>
      <c:layout>
        <c:manualLayout>
          <c:xMode val="edge"/>
          <c:yMode val="edge"/>
          <c:x val="1.3135289906943447E-3"/>
          <c:y val="0"/>
        </c:manualLayout>
      </c:layout>
      <c:overlay val="1"/>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title>
    <c:autoTitleDeleted val="0"/>
    <c:plotArea>
      <c:layout>
        <c:manualLayout>
          <c:layoutTarget val="inner"/>
          <c:xMode val="edge"/>
          <c:yMode val="edge"/>
          <c:x val="8.0341343342104465E-2"/>
          <c:y val="0.13003601764512648"/>
          <c:w val="0.90607175698167752"/>
          <c:h val="0.68131088138479379"/>
        </c:manualLayout>
      </c:layout>
      <c:barChart>
        <c:barDir val="col"/>
        <c:grouping val="clustered"/>
        <c:varyColors val="0"/>
        <c:ser>
          <c:idx val="5"/>
          <c:order val="0"/>
          <c:tx>
            <c:v>NOPAT Margin (lhs)</c:v>
          </c:tx>
          <c:spPr>
            <a:solidFill>
              <a:schemeClr val="accent1"/>
            </a:soli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invertIfNegative val="0"/>
          <c:cat>
            <c:strRef>
              <c:f>'ROIC Metrics'!$C$4:$G$4</c:f>
              <c:strCache>
                <c:ptCount val="5"/>
                <c:pt idx="0">
                  <c:v>FY 2015</c:v>
                </c:pt>
                <c:pt idx="1">
                  <c:v>FY 2016</c:v>
                </c:pt>
                <c:pt idx="2">
                  <c:v>FY 2017</c:v>
                </c:pt>
                <c:pt idx="3">
                  <c:v>FY 2018</c:v>
                </c:pt>
                <c:pt idx="4">
                  <c:v>Q2TTM 2019</c:v>
                </c:pt>
              </c:strCache>
            </c:strRef>
          </c:cat>
          <c:val>
            <c:numRef>
              <c:f>'ROIC Metrics'!$C$6:$G$6</c:f>
              <c:numCache>
                <c:formatCode>0.0%</c:formatCode>
                <c:ptCount val="5"/>
                <c:pt idx="0">
                  <c:v>0.224409</c:v>
                </c:pt>
                <c:pt idx="1">
                  <c:v>0.20721400000000001</c:v>
                </c:pt>
                <c:pt idx="2">
                  <c:v>0.20188999999999999</c:v>
                </c:pt>
                <c:pt idx="3">
                  <c:v>0.21797800000000001</c:v>
                </c:pt>
                <c:pt idx="4">
                  <c:v>0.218891</c:v>
                </c:pt>
              </c:numCache>
            </c:numRef>
          </c:val>
          <c:extLst>
            <c:ext xmlns:c16="http://schemas.microsoft.com/office/drawing/2014/chart" uri="{C3380CC4-5D6E-409C-BE32-E72D297353CC}">
              <c16:uniqueId val="{00000000-D9B5-4441-886C-9F957CE6D6C3}"/>
            </c:ext>
          </c:extLst>
        </c:ser>
        <c:dLbls>
          <c:showLegendKey val="0"/>
          <c:showVal val="0"/>
          <c:showCatName val="0"/>
          <c:showSerName val="0"/>
          <c:showPercent val="0"/>
          <c:showBubbleSize val="0"/>
        </c:dLbls>
        <c:gapWidth val="150"/>
        <c:axId val="1343365231"/>
        <c:axId val="1343366479"/>
      </c:barChart>
      <c:lineChart>
        <c:grouping val="stacked"/>
        <c:varyColors val="0"/>
        <c:ser>
          <c:idx val="0"/>
          <c:order val="1"/>
          <c:tx>
            <c:v>Invested Capital Turnover (rhs)</c:v>
          </c:tx>
          <c:spPr>
            <a:ln w="34925" cap="rnd">
              <a:solidFill>
                <a:schemeClr val="accent4"/>
              </a:solidFill>
              <a:round/>
            </a:ln>
            <a:effectLst>
              <a:outerShdw blurRad="50800" dist="38100" dir="5400000" rotWithShape="0">
                <a:srgbClr val="000000">
                  <a:alpha val="35000"/>
                </a:srgbClr>
              </a:outerShdw>
            </a:effectLst>
          </c:spPr>
          <c:marker>
            <c:symbol val="none"/>
          </c:marker>
          <c:cat>
            <c:strRef>
              <c:f>'ROIC Metrics'!$C$4:$G$4</c:f>
              <c:strCache>
                <c:ptCount val="5"/>
                <c:pt idx="0">
                  <c:v>FY 2015</c:v>
                </c:pt>
                <c:pt idx="1">
                  <c:v>FY 2016</c:v>
                </c:pt>
                <c:pt idx="2">
                  <c:v>FY 2017</c:v>
                </c:pt>
                <c:pt idx="3">
                  <c:v>FY 2018</c:v>
                </c:pt>
                <c:pt idx="4">
                  <c:v>Q2TTM 2019</c:v>
                </c:pt>
              </c:strCache>
            </c:strRef>
          </c:cat>
          <c:val>
            <c:numRef>
              <c:f>'ROIC Metrics'!$C$7:$G$7</c:f>
              <c:numCache>
                <c:formatCode>0.00</c:formatCode>
                <c:ptCount val="5"/>
                <c:pt idx="0">
                  <c:v>-15.386100000000001</c:v>
                </c:pt>
                <c:pt idx="1">
                  <c:v>-9.7383000000000006</c:v>
                </c:pt>
                <c:pt idx="2">
                  <c:v>-11.0549</c:v>
                </c:pt>
                <c:pt idx="3">
                  <c:v>-15.3355</c:v>
                </c:pt>
                <c:pt idx="4">
                  <c:v>-19.9589</c:v>
                </c:pt>
              </c:numCache>
            </c:numRef>
          </c:val>
          <c:smooth val="0"/>
          <c:extLst>
            <c:ext xmlns:c16="http://schemas.microsoft.com/office/drawing/2014/chart" uri="{C3380CC4-5D6E-409C-BE32-E72D297353CC}">
              <c16:uniqueId val="{00000001-D9B5-4441-886C-9F957CE6D6C3}"/>
            </c:ext>
          </c:extLst>
        </c:ser>
        <c:dLbls>
          <c:showLegendKey val="0"/>
          <c:showVal val="0"/>
          <c:showCatName val="0"/>
          <c:showSerName val="0"/>
          <c:showPercent val="0"/>
          <c:showBubbleSize val="0"/>
        </c:dLbls>
        <c:marker val="1"/>
        <c:smooth val="0"/>
        <c:axId val="380761199"/>
        <c:axId val="380762447"/>
      </c:lineChart>
      <c:catAx>
        <c:axId val="1343365231"/>
        <c:scaling>
          <c:orientation val="minMax"/>
        </c:scaling>
        <c:delete val="0"/>
        <c:axPos val="b"/>
        <c:numFmt formatCode="General" sourceLinked="1"/>
        <c:majorTickMark val="none"/>
        <c:minorTickMark val="none"/>
        <c:tickLblPos val="low"/>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3366479"/>
        <c:crosses val="autoZero"/>
        <c:auto val="1"/>
        <c:lblAlgn val="ctr"/>
        <c:lblOffset val="100"/>
        <c:noMultiLvlLbl val="0"/>
      </c:catAx>
      <c:valAx>
        <c:axId val="134336647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3365231"/>
        <c:crosses val="autoZero"/>
        <c:crossBetween val="between"/>
      </c:valAx>
      <c:valAx>
        <c:axId val="380762447"/>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761199"/>
        <c:crosses val="max"/>
        <c:crossBetween val="between"/>
      </c:valAx>
      <c:catAx>
        <c:axId val="380761199"/>
        <c:scaling>
          <c:orientation val="minMax"/>
        </c:scaling>
        <c:delete val="1"/>
        <c:axPos val="b"/>
        <c:numFmt formatCode="General" sourceLinked="1"/>
        <c:majorTickMark val="out"/>
        <c:minorTickMark val="none"/>
        <c:tickLblPos val="nextTo"/>
        <c:crossAx val="380762447"/>
        <c:crosses val="autoZero"/>
        <c:auto val="1"/>
        <c:lblAlgn val="ctr"/>
        <c:lblOffset val="100"/>
        <c:noMultiLvlLbl val="0"/>
      </c:catAx>
      <c:spPr>
        <a:noFill/>
        <a:ln>
          <a:noFill/>
        </a:ln>
        <a:effectLst/>
      </c:spPr>
    </c:plotArea>
    <c:legend>
      <c:legendPos val="b"/>
      <c:layout>
        <c:manualLayout>
          <c:xMode val="edge"/>
          <c:yMode val="edge"/>
          <c:x val="0.19222957925713832"/>
          <c:y val="0.90845278955515174"/>
          <c:w val="0.67905531694901788"/>
          <c:h val="8.69799313502678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r>
              <a:rPr lang="en-US" sz="1200">
                <a:solidFill>
                  <a:schemeClr val="tx1"/>
                </a:solidFill>
              </a:rPr>
              <a:t>Cash Conversion Cycle</a:t>
            </a:r>
          </a:p>
          <a:p>
            <a:pPr>
              <a:defRPr sz="1200">
                <a:solidFill>
                  <a:schemeClr val="tx1"/>
                </a:solidFill>
              </a:defRPr>
            </a:pPr>
            <a:endParaRPr lang="en-US" sz="1200">
              <a:solidFill>
                <a:schemeClr val="tx1"/>
              </a:solidFill>
            </a:endParaRPr>
          </a:p>
        </c:rich>
      </c:tx>
      <c:layout>
        <c:manualLayout>
          <c:xMode val="edge"/>
          <c:yMode val="edge"/>
          <c:x val="1.3390716744652814E-2"/>
          <c:y val="0"/>
        </c:manualLayout>
      </c:layout>
      <c:overlay val="1"/>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title>
    <c:autoTitleDeleted val="0"/>
    <c:plotArea>
      <c:layout>
        <c:manualLayout>
          <c:layoutTarget val="inner"/>
          <c:xMode val="edge"/>
          <c:yMode val="edge"/>
          <c:x val="0.10352133270222071"/>
          <c:y val="0.13003601764512648"/>
          <c:w val="0.88289169644780119"/>
          <c:h val="0.68131088138479379"/>
        </c:manualLayout>
      </c:layout>
      <c:barChart>
        <c:barDir val="col"/>
        <c:grouping val="stacked"/>
        <c:varyColors val="0"/>
        <c:ser>
          <c:idx val="5"/>
          <c:order val="0"/>
          <c:tx>
            <c:v>DSO</c:v>
          </c:tx>
          <c:spPr>
            <a:solidFill>
              <a:schemeClr val="accent3"/>
            </a:soli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invertIfNegative val="0"/>
          <c:cat>
            <c:strRef>
              <c:f>'NWC Metrics'!$C$4:$G$4</c:f>
              <c:strCache>
                <c:ptCount val="5"/>
                <c:pt idx="0">
                  <c:v>FY 2015</c:v>
                </c:pt>
                <c:pt idx="1">
                  <c:v>FY 2016</c:v>
                </c:pt>
                <c:pt idx="2">
                  <c:v>FY 2017</c:v>
                </c:pt>
                <c:pt idx="3">
                  <c:v>FY 2018</c:v>
                </c:pt>
                <c:pt idx="4">
                  <c:v>Q2TTM 2019</c:v>
                </c:pt>
              </c:strCache>
            </c:strRef>
          </c:cat>
          <c:val>
            <c:numRef>
              <c:f>'NWC Metrics'!$C$6:$G$6</c:f>
              <c:numCache>
                <c:formatCode>0.0</c:formatCode>
                <c:ptCount val="5"/>
                <c:pt idx="0">
                  <c:v>26.790700000000001</c:v>
                </c:pt>
                <c:pt idx="1">
                  <c:v>27.592600000000001</c:v>
                </c:pt>
                <c:pt idx="2">
                  <c:v>26.772300000000001</c:v>
                </c:pt>
                <c:pt idx="3">
                  <c:v>28.213799999999999</c:v>
                </c:pt>
                <c:pt idx="4">
                  <c:v>21.149799999999999</c:v>
                </c:pt>
              </c:numCache>
            </c:numRef>
          </c:val>
          <c:extLst>
            <c:ext xmlns:c16="http://schemas.microsoft.com/office/drawing/2014/chart" uri="{C3380CC4-5D6E-409C-BE32-E72D297353CC}">
              <c16:uniqueId val="{00000000-BC01-4588-9A84-839CDD474CF7}"/>
            </c:ext>
          </c:extLst>
        </c:ser>
        <c:ser>
          <c:idx val="0"/>
          <c:order val="1"/>
          <c:tx>
            <c:v>DIO</c:v>
          </c:tx>
          <c:spPr>
            <a:solidFill>
              <a:schemeClr val="accent1"/>
            </a:soli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invertIfNegative val="0"/>
          <c:cat>
            <c:strRef>
              <c:f>'NWC Metrics'!$C$4:$G$4</c:f>
              <c:strCache>
                <c:ptCount val="5"/>
                <c:pt idx="0">
                  <c:v>FY 2015</c:v>
                </c:pt>
                <c:pt idx="1">
                  <c:v>FY 2016</c:v>
                </c:pt>
                <c:pt idx="2">
                  <c:v>FY 2017</c:v>
                </c:pt>
                <c:pt idx="3">
                  <c:v>FY 2018</c:v>
                </c:pt>
                <c:pt idx="4">
                  <c:v>Q2TTM 2019</c:v>
                </c:pt>
              </c:strCache>
            </c:strRef>
          </c:cat>
          <c:val>
            <c:numRef>
              <c:f>'NWC Metrics'!$C$7:$G$7</c:f>
              <c:numCache>
                <c:formatCode>0.0</c:formatCode>
                <c:ptCount val="5"/>
                <c:pt idx="0">
                  <c:v>5.8102</c:v>
                </c:pt>
                <c:pt idx="1">
                  <c:v>6.2247000000000003</c:v>
                </c:pt>
                <c:pt idx="2">
                  <c:v>9.0404</c:v>
                </c:pt>
                <c:pt idx="3">
                  <c:v>9.8194999999999997</c:v>
                </c:pt>
                <c:pt idx="4">
                  <c:v>14.732799999999999</c:v>
                </c:pt>
              </c:numCache>
            </c:numRef>
          </c:val>
          <c:extLst>
            <c:ext xmlns:c16="http://schemas.microsoft.com/office/drawing/2014/chart" uri="{C3380CC4-5D6E-409C-BE32-E72D297353CC}">
              <c16:uniqueId val="{00000001-BC01-4588-9A84-839CDD474CF7}"/>
            </c:ext>
          </c:extLst>
        </c:ser>
        <c:ser>
          <c:idx val="1"/>
          <c:order val="2"/>
          <c:tx>
            <c:v>DPO</c:v>
          </c:tx>
          <c:spPr>
            <a:solidFill>
              <a:schemeClr val="accent4"/>
            </a:soli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invertIfNegative val="0"/>
          <c:cat>
            <c:strRef>
              <c:f>'NWC Metrics'!$C$4:$G$4</c:f>
              <c:strCache>
                <c:ptCount val="5"/>
                <c:pt idx="0">
                  <c:v>FY 2015</c:v>
                </c:pt>
                <c:pt idx="1">
                  <c:v>FY 2016</c:v>
                </c:pt>
                <c:pt idx="2">
                  <c:v>FY 2017</c:v>
                </c:pt>
                <c:pt idx="3">
                  <c:v>FY 2018</c:v>
                </c:pt>
                <c:pt idx="4">
                  <c:v>Q2TTM 2019</c:v>
                </c:pt>
              </c:strCache>
            </c:strRef>
          </c:cat>
          <c:val>
            <c:numRef>
              <c:f>'NWC Metrics'!$C$8:$G$8</c:f>
              <c:numCache>
                <c:formatCode>0.0</c:formatCode>
                <c:ptCount val="5"/>
                <c:pt idx="0">
                  <c:v>-85.572000000000003</c:v>
                </c:pt>
                <c:pt idx="1">
                  <c:v>-101.1074</c:v>
                </c:pt>
                <c:pt idx="2">
                  <c:v>-105.4983</c:v>
                </c:pt>
                <c:pt idx="3">
                  <c:v>-111.5912</c:v>
                </c:pt>
                <c:pt idx="4">
                  <c:v>-76.040999999999997</c:v>
                </c:pt>
              </c:numCache>
            </c:numRef>
          </c:val>
          <c:extLst>
            <c:ext xmlns:c16="http://schemas.microsoft.com/office/drawing/2014/chart" uri="{C3380CC4-5D6E-409C-BE32-E72D297353CC}">
              <c16:uniqueId val="{00000002-BC01-4588-9A84-839CDD474CF7}"/>
            </c:ext>
          </c:extLst>
        </c:ser>
        <c:dLbls>
          <c:showLegendKey val="0"/>
          <c:showVal val="0"/>
          <c:showCatName val="0"/>
          <c:showSerName val="0"/>
          <c:showPercent val="0"/>
          <c:showBubbleSize val="0"/>
        </c:dLbls>
        <c:gapWidth val="150"/>
        <c:overlap val="100"/>
        <c:axId val="1343365231"/>
        <c:axId val="1343366479"/>
      </c:barChart>
      <c:lineChart>
        <c:grouping val="standard"/>
        <c:varyColors val="0"/>
        <c:ser>
          <c:idx val="2"/>
          <c:order val="3"/>
          <c:tx>
            <c:v>CCC</c:v>
          </c:tx>
          <c:spPr>
            <a:ln w="34925" cap="rnd">
              <a:solidFill>
                <a:schemeClr val="accent6"/>
              </a:solidFill>
              <a:round/>
            </a:ln>
            <a:effectLst>
              <a:outerShdw blurRad="50800" dist="38100" dir="5400000" rotWithShape="0">
                <a:srgbClr val="000000">
                  <a:alpha val="35000"/>
                </a:srgbClr>
              </a:outerShdw>
            </a:effectLst>
          </c:spPr>
          <c:marker>
            <c:symbol val="none"/>
          </c:marker>
          <c:cat>
            <c:strRef>
              <c:f>'NWC Metrics'!$C$4:$G$4</c:f>
              <c:strCache>
                <c:ptCount val="5"/>
                <c:pt idx="0">
                  <c:v>FY 2015</c:v>
                </c:pt>
                <c:pt idx="1">
                  <c:v>FY 2016</c:v>
                </c:pt>
                <c:pt idx="2">
                  <c:v>FY 2017</c:v>
                </c:pt>
                <c:pt idx="3">
                  <c:v>FY 2018</c:v>
                </c:pt>
                <c:pt idx="4">
                  <c:v>Q2TTM 2019</c:v>
                </c:pt>
              </c:strCache>
            </c:strRef>
          </c:cat>
          <c:val>
            <c:numRef>
              <c:f>'NWC Metrics'!$C$9:$G$9</c:f>
              <c:numCache>
                <c:formatCode>0.0</c:formatCode>
                <c:ptCount val="5"/>
                <c:pt idx="0">
                  <c:v>-52.970999999999997</c:v>
                </c:pt>
                <c:pt idx="1">
                  <c:v>-67.290000000000006</c:v>
                </c:pt>
                <c:pt idx="2">
                  <c:v>-69.685599999999994</c:v>
                </c:pt>
                <c:pt idx="3">
                  <c:v>-73.5578</c:v>
                </c:pt>
                <c:pt idx="4">
                  <c:v>-40.158299999999997</c:v>
                </c:pt>
              </c:numCache>
            </c:numRef>
          </c:val>
          <c:smooth val="0"/>
          <c:extLst>
            <c:ext xmlns:c16="http://schemas.microsoft.com/office/drawing/2014/chart" uri="{C3380CC4-5D6E-409C-BE32-E72D297353CC}">
              <c16:uniqueId val="{00000003-BC01-4588-9A84-839CDD474CF7}"/>
            </c:ext>
          </c:extLst>
        </c:ser>
        <c:dLbls>
          <c:showLegendKey val="0"/>
          <c:showVal val="0"/>
          <c:showCatName val="0"/>
          <c:showSerName val="0"/>
          <c:showPercent val="0"/>
          <c:showBubbleSize val="0"/>
        </c:dLbls>
        <c:marker val="1"/>
        <c:smooth val="0"/>
        <c:axId val="1343365231"/>
        <c:axId val="1343366479"/>
      </c:lineChart>
      <c:catAx>
        <c:axId val="1343365231"/>
        <c:scaling>
          <c:orientation val="minMax"/>
        </c:scaling>
        <c:delete val="0"/>
        <c:axPos val="b"/>
        <c:numFmt formatCode="General" sourceLinked="1"/>
        <c:majorTickMark val="none"/>
        <c:minorTickMark val="none"/>
        <c:tickLblPos val="low"/>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3366479"/>
        <c:crosses val="autoZero"/>
        <c:auto val="1"/>
        <c:lblAlgn val="ctr"/>
        <c:lblOffset val="100"/>
        <c:noMultiLvlLbl val="0"/>
      </c:catAx>
      <c:valAx>
        <c:axId val="134336647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3365231"/>
        <c:crosses val="autoZero"/>
        <c:crossBetween val="between"/>
      </c:valAx>
      <c:spPr>
        <a:noFill/>
        <a:ln>
          <a:noFill/>
        </a:ln>
        <a:effectLst/>
      </c:spPr>
    </c:plotArea>
    <c:legend>
      <c:legendPos val="b"/>
      <c:layout>
        <c:manualLayout>
          <c:xMode val="edge"/>
          <c:yMode val="edge"/>
          <c:x val="0.24239267941789999"/>
          <c:y val="0.90845278955515174"/>
          <c:w val="0.47850697435629691"/>
          <c:h val="6.372165766495842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r>
              <a:rPr lang="en-US" sz="1200">
                <a:solidFill>
                  <a:schemeClr val="tx1"/>
                </a:solidFill>
              </a:rPr>
              <a:t>NWC &amp; Current Ratio</a:t>
            </a:r>
          </a:p>
        </c:rich>
      </c:tx>
      <c:layout>
        <c:manualLayout>
          <c:xMode val="edge"/>
          <c:yMode val="edge"/>
          <c:x val="1.3135289906943447E-3"/>
          <c:y val="0"/>
        </c:manualLayout>
      </c:layout>
      <c:overlay val="1"/>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title>
    <c:autoTitleDeleted val="0"/>
    <c:plotArea>
      <c:layout>
        <c:manualLayout>
          <c:layoutTarget val="inner"/>
          <c:xMode val="edge"/>
          <c:yMode val="edge"/>
          <c:x val="8.0341343342104465E-2"/>
          <c:y val="0.13003601764512648"/>
          <c:w val="0.90607175698167752"/>
          <c:h val="0.68131088138479379"/>
        </c:manualLayout>
      </c:layout>
      <c:barChart>
        <c:barDir val="col"/>
        <c:grouping val="clustered"/>
        <c:varyColors val="0"/>
        <c:ser>
          <c:idx val="5"/>
          <c:order val="0"/>
          <c:tx>
            <c:v>DFCF NWC / Rev (lhs)</c:v>
          </c:tx>
          <c:spPr>
            <a:solidFill>
              <a:schemeClr val="accent1"/>
            </a:soli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invertIfNegative val="0"/>
          <c:cat>
            <c:strRef>
              <c:f>'NWC Metrics'!$C$4:$G$4</c:f>
              <c:strCache>
                <c:ptCount val="5"/>
                <c:pt idx="0">
                  <c:v>FY 2015</c:v>
                </c:pt>
                <c:pt idx="1">
                  <c:v>FY 2016</c:v>
                </c:pt>
                <c:pt idx="2">
                  <c:v>FY 2017</c:v>
                </c:pt>
                <c:pt idx="3">
                  <c:v>FY 2018</c:v>
                </c:pt>
                <c:pt idx="4">
                  <c:v>Q2TTM 2019</c:v>
                </c:pt>
              </c:strCache>
            </c:strRef>
          </c:cat>
          <c:val>
            <c:numRef>
              <c:f>'NWC Metrics'!$C$14:$G$14</c:f>
              <c:numCache>
                <c:formatCode>0.0%</c:formatCode>
                <c:ptCount val="5"/>
                <c:pt idx="0">
                  <c:v>-9.3417E-2</c:v>
                </c:pt>
                <c:pt idx="1">
                  <c:v>-0.12839500000000001</c:v>
                </c:pt>
                <c:pt idx="2">
                  <c:v>-0.12160899999999999</c:v>
                </c:pt>
                <c:pt idx="3">
                  <c:v>-0.113357</c:v>
                </c:pt>
                <c:pt idx="4">
                  <c:v>-0.11078200000000001</c:v>
                </c:pt>
              </c:numCache>
            </c:numRef>
          </c:val>
          <c:extLst>
            <c:ext xmlns:c16="http://schemas.microsoft.com/office/drawing/2014/chart" uri="{C3380CC4-5D6E-409C-BE32-E72D297353CC}">
              <c16:uniqueId val="{00000000-C039-4904-BB9D-7B49C2C15CCE}"/>
            </c:ext>
          </c:extLst>
        </c:ser>
        <c:dLbls>
          <c:showLegendKey val="0"/>
          <c:showVal val="0"/>
          <c:showCatName val="0"/>
          <c:showSerName val="0"/>
          <c:showPercent val="0"/>
          <c:showBubbleSize val="0"/>
        </c:dLbls>
        <c:gapWidth val="150"/>
        <c:axId val="1343365231"/>
        <c:axId val="1343366479"/>
      </c:barChart>
      <c:lineChart>
        <c:grouping val="stacked"/>
        <c:varyColors val="0"/>
        <c:ser>
          <c:idx val="0"/>
          <c:order val="1"/>
          <c:tx>
            <c:v>Current Ratio (rhs)</c:v>
          </c:tx>
          <c:spPr>
            <a:ln w="34925" cap="rnd">
              <a:solidFill>
                <a:schemeClr val="accent4"/>
              </a:solidFill>
              <a:round/>
            </a:ln>
            <a:effectLst>
              <a:outerShdw blurRad="50800" dist="38100" dir="5400000" rotWithShape="0">
                <a:srgbClr val="000000">
                  <a:alpha val="35000"/>
                </a:srgbClr>
              </a:outerShdw>
            </a:effectLst>
          </c:spPr>
          <c:marker>
            <c:symbol val="none"/>
          </c:marker>
          <c:cat>
            <c:strRef>
              <c:f>'NWC Metrics'!$C$4:$G$4</c:f>
              <c:strCache>
                <c:ptCount val="5"/>
                <c:pt idx="0">
                  <c:v>FY 2015</c:v>
                </c:pt>
                <c:pt idx="1">
                  <c:v>FY 2016</c:v>
                </c:pt>
                <c:pt idx="2">
                  <c:v>FY 2017</c:v>
                </c:pt>
                <c:pt idx="3">
                  <c:v>FY 2018</c:v>
                </c:pt>
                <c:pt idx="4">
                  <c:v>Q2TTM 2019</c:v>
                </c:pt>
              </c:strCache>
            </c:strRef>
          </c:cat>
          <c:val>
            <c:numRef>
              <c:f>'NWC Metrics'!$C$12:$G$12</c:f>
              <c:numCache>
                <c:formatCode>0.0</c:formatCode>
                <c:ptCount val="5"/>
                <c:pt idx="0">
                  <c:v>1.1088</c:v>
                </c:pt>
                <c:pt idx="1">
                  <c:v>1.3527</c:v>
                </c:pt>
                <c:pt idx="2">
                  <c:v>1.2761</c:v>
                </c:pt>
                <c:pt idx="3">
                  <c:v>1.1329</c:v>
                </c:pt>
                <c:pt idx="4">
                  <c:v>1.3153999999999999</c:v>
                </c:pt>
              </c:numCache>
            </c:numRef>
          </c:val>
          <c:smooth val="0"/>
          <c:extLst>
            <c:ext xmlns:c16="http://schemas.microsoft.com/office/drawing/2014/chart" uri="{C3380CC4-5D6E-409C-BE32-E72D297353CC}">
              <c16:uniqueId val="{00000001-C039-4904-BB9D-7B49C2C15CCE}"/>
            </c:ext>
          </c:extLst>
        </c:ser>
        <c:dLbls>
          <c:showLegendKey val="0"/>
          <c:showVal val="0"/>
          <c:showCatName val="0"/>
          <c:showSerName val="0"/>
          <c:showPercent val="0"/>
          <c:showBubbleSize val="0"/>
        </c:dLbls>
        <c:marker val="1"/>
        <c:smooth val="0"/>
        <c:axId val="380761199"/>
        <c:axId val="380762447"/>
      </c:lineChart>
      <c:catAx>
        <c:axId val="1343365231"/>
        <c:scaling>
          <c:orientation val="minMax"/>
        </c:scaling>
        <c:delete val="0"/>
        <c:axPos val="b"/>
        <c:numFmt formatCode="General" sourceLinked="1"/>
        <c:majorTickMark val="none"/>
        <c:minorTickMark val="none"/>
        <c:tickLblPos val="low"/>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3366479"/>
        <c:crosses val="autoZero"/>
        <c:auto val="1"/>
        <c:lblAlgn val="ctr"/>
        <c:lblOffset val="100"/>
        <c:noMultiLvlLbl val="0"/>
      </c:catAx>
      <c:valAx>
        <c:axId val="134336647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3365231"/>
        <c:crosses val="autoZero"/>
        <c:crossBetween val="between"/>
      </c:valAx>
      <c:valAx>
        <c:axId val="380762447"/>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761199"/>
        <c:crosses val="max"/>
        <c:crossBetween val="between"/>
      </c:valAx>
      <c:catAx>
        <c:axId val="380761199"/>
        <c:scaling>
          <c:orientation val="minMax"/>
        </c:scaling>
        <c:delete val="1"/>
        <c:axPos val="b"/>
        <c:numFmt formatCode="General" sourceLinked="1"/>
        <c:majorTickMark val="out"/>
        <c:minorTickMark val="none"/>
        <c:tickLblPos val="nextTo"/>
        <c:crossAx val="380762447"/>
        <c:crosses val="autoZero"/>
        <c:auto val="1"/>
        <c:lblAlgn val="ctr"/>
        <c:lblOffset val="100"/>
        <c:noMultiLvlLbl val="0"/>
      </c:catAx>
      <c:spPr>
        <a:noFill/>
        <a:ln>
          <a:noFill/>
        </a:ln>
        <a:effectLst/>
      </c:spPr>
    </c:plotArea>
    <c:legend>
      <c:legendPos val="b"/>
      <c:layout>
        <c:manualLayout>
          <c:xMode val="edge"/>
          <c:yMode val="edge"/>
          <c:x val="6.8492205519764593E-2"/>
          <c:y val="0.90845278955515174"/>
          <c:w val="0.87349976139346219"/>
          <c:h val="8.69799313502678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r>
              <a:rPr lang="en-US" sz="1200">
                <a:solidFill>
                  <a:schemeClr val="tx1"/>
                </a:solidFill>
              </a:rPr>
              <a:t>Capital Structure</a:t>
            </a:r>
          </a:p>
        </c:rich>
      </c:tx>
      <c:layout>
        <c:manualLayout>
          <c:xMode val="edge"/>
          <c:yMode val="edge"/>
          <c:x val="9.26052773722421E-4"/>
          <c:y val="0"/>
        </c:manualLayout>
      </c:layout>
      <c:overlay val="1"/>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title>
    <c:autoTitleDeleted val="0"/>
    <c:plotArea>
      <c:layout>
        <c:manualLayout>
          <c:layoutTarget val="inner"/>
          <c:xMode val="edge"/>
          <c:yMode val="edge"/>
          <c:x val="7.6864944171603375E-2"/>
          <c:y val="0.13003601764512648"/>
          <c:w val="0.86685142964927242"/>
          <c:h val="0.68131088138479379"/>
        </c:manualLayout>
      </c:layout>
      <c:barChart>
        <c:barDir val="col"/>
        <c:grouping val="stacked"/>
        <c:varyColors val="0"/>
        <c:ser>
          <c:idx val="4"/>
          <c:order val="0"/>
          <c:tx>
            <c:v>Common Equity</c:v>
          </c:tx>
          <c:spPr>
            <a:gradFill rotWithShape="1">
              <a:gsLst>
                <a:gs pos="0">
                  <a:schemeClr val="accent5">
                    <a:tint val="96000"/>
                    <a:lumMod val="100000"/>
                  </a:schemeClr>
                </a:gs>
                <a:gs pos="78000">
                  <a:schemeClr val="accent5">
                    <a:shade val="94000"/>
                    <a:lumMod val="94000"/>
                  </a:schemeClr>
                </a:gs>
              </a:gsLst>
              <a:lin ang="5400000" scaled="0"/>
            </a:gra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invertIfNegative val="0"/>
          <c:cat>
            <c:strRef>
              <c:f>'Debt Metrics'!$C$4:$G$4</c:f>
              <c:strCache>
                <c:ptCount val="5"/>
                <c:pt idx="0">
                  <c:v>FY 2015</c:v>
                </c:pt>
                <c:pt idx="1">
                  <c:v>FY 2016</c:v>
                </c:pt>
                <c:pt idx="2">
                  <c:v>FY 2017</c:v>
                </c:pt>
                <c:pt idx="3">
                  <c:v>FY 2018</c:v>
                </c:pt>
                <c:pt idx="4">
                  <c:v>Q2TTM 2019</c:v>
                </c:pt>
              </c:strCache>
            </c:strRef>
          </c:cat>
          <c:val>
            <c:numRef>
              <c:f>'Debt Metrics'!$C$10:$G$10</c:f>
              <c:numCache>
                <c:formatCode>0.0%</c:formatCode>
                <c:ptCount val="5"/>
                <c:pt idx="0">
                  <c:v>0.64978400000000003</c:v>
                </c:pt>
                <c:pt idx="1">
                  <c:v>0.59572800000000004</c:v>
                </c:pt>
                <c:pt idx="2">
                  <c:v>0.53677399999999997</c:v>
                </c:pt>
                <c:pt idx="3">
                  <c:v>0.483371</c:v>
                </c:pt>
                <c:pt idx="4">
                  <c:v>0.48456100000000002</c:v>
                </c:pt>
              </c:numCache>
            </c:numRef>
          </c:val>
          <c:extLst>
            <c:ext xmlns:c16="http://schemas.microsoft.com/office/drawing/2014/chart" uri="{C3380CC4-5D6E-409C-BE32-E72D297353CC}">
              <c16:uniqueId val="{00000005-994B-4235-9429-013AA02CB549}"/>
            </c:ext>
          </c:extLst>
        </c:ser>
        <c:ser>
          <c:idx val="3"/>
          <c:order val="1"/>
          <c:tx>
            <c:v>Noncontrolling Interests</c:v>
          </c:tx>
          <c:spPr>
            <a:gradFill rotWithShape="1">
              <a:gsLst>
                <a:gs pos="0">
                  <a:schemeClr val="accent4">
                    <a:tint val="96000"/>
                    <a:lumMod val="100000"/>
                  </a:schemeClr>
                </a:gs>
                <a:gs pos="78000">
                  <a:schemeClr val="accent4">
                    <a:shade val="94000"/>
                    <a:lumMod val="94000"/>
                  </a:schemeClr>
                </a:gs>
              </a:gsLst>
              <a:lin ang="5400000" scaled="0"/>
            </a:gra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invertIfNegative val="0"/>
          <c:cat>
            <c:strRef>
              <c:f>'Debt Metrics'!$C$4:$G$4</c:f>
              <c:strCache>
                <c:ptCount val="5"/>
                <c:pt idx="0">
                  <c:v>FY 2015</c:v>
                </c:pt>
                <c:pt idx="1">
                  <c:v>FY 2016</c:v>
                </c:pt>
                <c:pt idx="2">
                  <c:v>FY 2017</c:v>
                </c:pt>
                <c:pt idx="3">
                  <c:v>FY 2018</c:v>
                </c:pt>
                <c:pt idx="4">
                  <c:v>Q2TTM 2019</c:v>
                </c:pt>
              </c:strCache>
            </c:strRef>
          </c:cat>
          <c:val>
            <c:numRef>
              <c:f>'Debt Metrics'!$C$9:$G$9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4-994B-4235-9429-013AA02CB549}"/>
            </c:ext>
          </c:extLst>
        </c:ser>
        <c:ser>
          <c:idx val="2"/>
          <c:order val="2"/>
          <c:tx>
            <c:v>Preferred Equity</c:v>
          </c:tx>
          <c:spPr>
            <a:gradFill rotWithShape="1">
              <a:gsLst>
                <a:gs pos="0">
                  <a:schemeClr val="accent3">
                    <a:tint val="96000"/>
                    <a:lumMod val="100000"/>
                  </a:schemeClr>
                </a:gs>
                <a:gs pos="78000">
                  <a:schemeClr val="accent3">
                    <a:shade val="94000"/>
                    <a:lumMod val="94000"/>
                  </a:schemeClr>
                </a:gs>
              </a:gsLst>
              <a:lin ang="5400000" scaled="0"/>
            </a:gra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invertIfNegative val="0"/>
          <c:cat>
            <c:strRef>
              <c:f>'Debt Metrics'!$C$4:$G$4</c:f>
              <c:strCache>
                <c:ptCount val="5"/>
                <c:pt idx="0">
                  <c:v>FY 2015</c:v>
                </c:pt>
                <c:pt idx="1">
                  <c:v>FY 2016</c:v>
                </c:pt>
                <c:pt idx="2">
                  <c:v>FY 2017</c:v>
                </c:pt>
                <c:pt idx="3">
                  <c:v>FY 2018</c:v>
                </c:pt>
                <c:pt idx="4">
                  <c:v>Q2TTM 2019</c:v>
                </c:pt>
              </c:strCache>
            </c:strRef>
          </c:cat>
          <c:val>
            <c:numRef>
              <c:f>'Debt Metrics'!$C$8:$G$8</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994B-4235-9429-013AA02CB549}"/>
            </c:ext>
          </c:extLst>
        </c:ser>
        <c:ser>
          <c:idx val="0"/>
          <c:order val="3"/>
          <c:tx>
            <c:v>Long-Term Debt</c:v>
          </c:tx>
          <c:spPr>
            <a:gradFill rotWithShape="1">
              <a:gsLst>
                <a:gs pos="0">
                  <a:schemeClr val="accent1">
                    <a:tint val="96000"/>
                    <a:lumMod val="100000"/>
                  </a:schemeClr>
                </a:gs>
                <a:gs pos="78000">
                  <a:schemeClr val="accent1">
                    <a:shade val="94000"/>
                    <a:lumMod val="94000"/>
                  </a:schemeClr>
                </a:gs>
              </a:gsLst>
              <a:lin ang="5400000" scaled="0"/>
            </a:gra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invertIfNegative val="0"/>
          <c:cat>
            <c:strRef>
              <c:f>'Debt Metrics'!$C$4:$G$4</c:f>
              <c:strCache>
                <c:ptCount val="5"/>
                <c:pt idx="0">
                  <c:v>FY 2015</c:v>
                </c:pt>
                <c:pt idx="1">
                  <c:v>FY 2016</c:v>
                </c:pt>
                <c:pt idx="2">
                  <c:v>FY 2017</c:v>
                </c:pt>
                <c:pt idx="3">
                  <c:v>FY 2018</c:v>
                </c:pt>
                <c:pt idx="4">
                  <c:v>Q2TTM 2019</c:v>
                </c:pt>
              </c:strCache>
            </c:strRef>
          </c:cat>
          <c:val>
            <c:numRef>
              <c:f>'Debt Metrics'!$C$7:$G$7</c:f>
              <c:numCache>
                <c:formatCode>0.0%</c:formatCode>
                <c:ptCount val="5"/>
                <c:pt idx="0">
                  <c:v>0.29032999999999998</c:v>
                </c:pt>
                <c:pt idx="1">
                  <c:v>0.35036499999999998</c:v>
                </c:pt>
                <c:pt idx="2">
                  <c:v>0.38925300000000002</c:v>
                </c:pt>
                <c:pt idx="3">
                  <c:v>0.42286600000000002</c:v>
                </c:pt>
                <c:pt idx="4">
                  <c:v>0.412883</c:v>
                </c:pt>
              </c:numCache>
            </c:numRef>
          </c:val>
          <c:extLst>
            <c:ext xmlns:c16="http://schemas.microsoft.com/office/drawing/2014/chart" uri="{C3380CC4-5D6E-409C-BE32-E72D297353CC}">
              <c16:uniqueId val="{00000002-994B-4235-9429-013AA02CB549}"/>
            </c:ext>
          </c:extLst>
        </c:ser>
        <c:ser>
          <c:idx val="1"/>
          <c:order val="4"/>
          <c:tx>
            <c:v>Short-Term Debt</c:v>
          </c:tx>
          <c:spPr>
            <a:gradFill rotWithShape="1">
              <a:gsLst>
                <a:gs pos="0">
                  <a:schemeClr val="accent2">
                    <a:tint val="96000"/>
                    <a:lumMod val="100000"/>
                  </a:schemeClr>
                </a:gs>
                <a:gs pos="78000">
                  <a:schemeClr val="accent2">
                    <a:shade val="94000"/>
                    <a:lumMod val="94000"/>
                  </a:schemeClr>
                </a:gs>
              </a:gsLst>
              <a:lin ang="5400000" scaled="0"/>
            </a:gra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invertIfNegative val="0"/>
          <c:cat>
            <c:strRef>
              <c:f>'Debt Metrics'!$C$4:$G$4</c:f>
              <c:strCache>
                <c:ptCount val="5"/>
                <c:pt idx="0">
                  <c:v>FY 2015</c:v>
                </c:pt>
                <c:pt idx="1">
                  <c:v>FY 2016</c:v>
                </c:pt>
                <c:pt idx="2">
                  <c:v>FY 2017</c:v>
                </c:pt>
                <c:pt idx="3">
                  <c:v>FY 2018</c:v>
                </c:pt>
                <c:pt idx="4">
                  <c:v>Q2TTM 2019</c:v>
                </c:pt>
              </c:strCache>
            </c:strRef>
          </c:cat>
          <c:val>
            <c:numRef>
              <c:f>'Debt Metrics'!$C$6:$G$6</c:f>
              <c:numCache>
                <c:formatCode>0.0%</c:formatCode>
                <c:ptCount val="5"/>
                <c:pt idx="0">
                  <c:v>5.9885000000000001E-2</c:v>
                </c:pt>
                <c:pt idx="1">
                  <c:v>5.3906000000000003E-2</c:v>
                </c:pt>
                <c:pt idx="2">
                  <c:v>7.3972999999999997E-2</c:v>
                </c:pt>
                <c:pt idx="3">
                  <c:v>9.3762999999999999E-2</c:v>
                </c:pt>
                <c:pt idx="4">
                  <c:v>0.10255599999999999</c:v>
                </c:pt>
              </c:numCache>
            </c:numRef>
          </c:val>
          <c:extLst>
            <c:ext xmlns:c16="http://schemas.microsoft.com/office/drawing/2014/chart" uri="{C3380CC4-5D6E-409C-BE32-E72D297353CC}">
              <c16:uniqueId val="{00000000-994B-4235-9429-013AA02CB549}"/>
            </c:ext>
          </c:extLst>
        </c:ser>
        <c:dLbls>
          <c:showLegendKey val="0"/>
          <c:showVal val="0"/>
          <c:showCatName val="0"/>
          <c:showSerName val="0"/>
          <c:showPercent val="0"/>
          <c:showBubbleSize val="0"/>
        </c:dLbls>
        <c:gapWidth val="0"/>
        <c:overlap val="100"/>
        <c:axId val="1343365231"/>
        <c:axId val="1343366479"/>
      </c:barChart>
      <c:lineChart>
        <c:grouping val="standard"/>
        <c:varyColors val="0"/>
        <c:ser>
          <c:idx val="5"/>
          <c:order val="5"/>
          <c:tx>
            <c:strRef>
              <c:f>'Debt Metrics'!$B$14</c:f>
              <c:strCache>
                <c:ptCount val="1"/>
                <c:pt idx="0">
                  <c:v>EBIT to Int Exp</c:v>
                </c:pt>
              </c:strCache>
            </c:strRef>
          </c:tx>
          <c:spPr>
            <a:ln w="34925" cap="rnd">
              <a:solidFill>
                <a:schemeClr val="accent6"/>
              </a:solidFill>
              <a:round/>
            </a:ln>
            <a:effectLst>
              <a:outerShdw blurRad="50800" dist="38100" dir="5400000" rotWithShape="0">
                <a:srgbClr val="000000">
                  <a:alpha val="35000"/>
                </a:srgbClr>
              </a:outerShdw>
            </a:effectLst>
          </c:spPr>
          <c:marker>
            <c:symbol val="none"/>
          </c:marker>
          <c:cat>
            <c:strRef>
              <c:f>'Debt Metrics'!$C$4:$G$4</c:f>
              <c:strCache>
                <c:ptCount val="5"/>
                <c:pt idx="0">
                  <c:v>FY 2015</c:v>
                </c:pt>
                <c:pt idx="1">
                  <c:v>FY 2016</c:v>
                </c:pt>
                <c:pt idx="2">
                  <c:v>FY 2017</c:v>
                </c:pt>
                <c:pt idx="3">
                  <c:v>FY 2018</c:v>
                </c:pt>
                <c:pt idx="4">
                  <c:v>Q2TTM 2019</c:v>
                </c:pt>
              </c:strCache>
            </c:strRef>
          </c:cat>
          <c:val>
            <c:numRef>
              <c:f>'Debt Metrics'!$C$14:$G$14</c:f>
              <c:numCache>
                <c:formatCode>0.00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7-994B-4235-9429-013AA02CB549}"/>
            </c:ext>
          </c:extLst>
        </c:ser>
        <c:dLbls>
          <c:showLegendKey val="0"/>
          <c:showVal val="0"/>
          <c:showCatName val="0"/>
          <c:showSerName val="0"/>
          <c:showPercent val="0"/>
          <c:showBubbleSize val="0"/>
        </c:dLbls>
        <c:marker val="1"/>
        <c:smooth val="0"/>
        <c:axId val="2025135823"/>
        <c:axId val="2025123759"/>
      </c:lineChart>
      <c:catAx>
        <c:axId val="1343365231"/>
        <c:scaling>
          <c:orientation val="minMax"/>
        </c:scaling>
        <c:delete val="0"/>
        <c:axPos val="b"/>
        <c:numFmt formatCode="General" sourceLinked="1"/>
        <c:majorTickMark val="none"/>
        <c:minorTickMark val="none"/>
        <c:tickLblPos val="low"/>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3366479"/>
        <c:crosses val="autoZero"/>
        <c:auto val="1"/>
        <c:lblAlgn val="ctr"/>
        <c:lblOffset val="100"/>
        <c:noMultiLvlLbl val="0"/>
      </c:catAx>
      <c:valAx>
        <c:axId val="1343366479"/>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 of Capital Structure</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3365231"/>
        <c:crosses val="autoZero"/>
        <c:crossBetween val="between"/>
      </c:valAx>
      <c:valAx>
        <c:axId val="2025123759"/>
        <c:scaling>
          <c:orientation val="minMax"/>
        </c:scaling>
        <c:delete val="0"/>
        <c:axPos val="r"/>
        <c:title>
          <c:tx>
            <c:rich>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EBIT / Int Exp</a:t>
                </a:r>
              </a:p>
            </c:rich>
          </c:tx>
          <c:layout>
            <c:manualLayout>
              <c:xMode val="edge"/>
              <c:yMode val="edge"/>
              <c:x val="0.98140067486641702"/>
              <c:y val="0.31309039133143052"/>
            </c:manualLayout>
          </c:layout>
          <c:overlay val="0"/>
          <c:spPr>
            <a:noFill/>
            <a:ln>
              <a:noFill/>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5135823"/>
        <c:crosses val="max"/>
        <c:crossBetween val="between"/>
      </c:valAx>
      <c:catAx>
        <c:axId val="2025135823"/>
        <c:scaling>
          <c:orientation val="minMax"/>
        </c:scaling>
        <c:delete val="1"/>
        <c:axPos val="b"/>
        <c:numFmt formatCode="General" sourceLinked="1"/>
        <c:majorTickMark val="out"/>
        <c:minorTickMark val="none"/>
        <c:tickLblPos val="nextTo"/>
        <c:crossAx val="2025123759"/>
        <c:crosses val="autoZero"/>
        <c:auto val="1"/>
        <c:lblAlgn val="ctr"/>
        <c:lblOffset val="100"/>
        <c:noMultiLvlLbl val="0"/>
      </c:catAx>
      <c:spPr>
        <a:noFill/>
        <a:ln>
          <a:noFill/>
        </a:ln>
        <a:effectLst/>
      </c:spPr>
    </c:plotArea>
    <c:legend>
      <c:legendPos val="b"/>
      <c:layout>
        <c:manualLayout>
          <c:xMode val="edge"/>
          <c:yMode val="edge"/>
          <c:x val="9.120686125466658E-2"/>
          <c:y val="0.90311107203160557"/>
          <c:w val="0.82131476261759495"/>
          <c:h val="9.688892796839435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r>
              <a:rPr lang="en-US" sz="1200">
                <a:solidFill>
                  <a:schemeClr val="tx1"/>
                </a:solidFill>
              </a:rPr>
              <a:t>Comparable Companies</a:t>
            </a:r>
            <a:r>
              <a:rPr lang="en-US" sz="1200" baseline="0">
                <a:solidFill>
                  <a:schemeClr val="tx1"/>
                </a:solidFill>
              </a:rPr>
              <a:t> </a:t>
            </a:r>
            <a:r>
              <a:rPr lang="en-US" sz="1200">
                <a:solidFill>
                  <a:schemeClr val="tx1"/>
                </a:solidFill>
              </a:rPr>
              <a:t>Profit Margin</a:t>
            </a:r>
          </a:p>
        </c:rich>
      </c:tx>
      <c:layout>
        <c:manualLayout>
          <c:xMode val="edge"/>
          <c:yMode val="edge"/>
          <c:x val="9.2609238373397048E-4"/>
          <c:y val="0"/>
        </c:manualLayout>
      </c:layout>
      <c:overlay val="1"/>
      <c:spPr>
        <a:noFill/>
        <a:ln>
          <a:noFill/>
        </a:ln>
        <a:effectLst/>
      </c:spPr>
    </c:title>
    <c:autoTitleDeleted val="0"/>
    <c:plotArea>
      <c:layout>
        <c:manualLayout>
          <c:layoutTarget val="inner"/>
          <c:xMode val="edge"/>
          <c:yMode val="edge"/>
          <c:x val="0.19326380603524304"/>
          <c:y val="0.15132126211906008"/>
          <c:w val="0.61160810528636034"/>
          <c:h val="0.81682339463977738"/>
        </c:manualLayout>
      </c:layout>
      <c:barChart>
        <c:barDir val="col"/>
        <c:grouping val="clustered"/>
        <c:varyColors val="1"/>
        <c:ser>
          <c:idx val="1"/>
          <c:order val="0"/>
          <c:tx>
            <c:strRef>
              <c:f>'Income Comps'!$B$22</c:f>
              <c:strCache>
                <c:ptCount val="1"/>
                <c:pt idx="0">
                  <c:v>   Margin (%)</c:v>
                </c:pt>
              </c:strCache>
            </c:strRef>
          </c:tx>
          <c:spPr>
            <a:gradFill rotWithShape="1">
              <a:gsLst>
                <a:gs pos="0">
                  <a:schemeClr val="accent2">
                    <a:tint val="96000"/>
                    <a:lumMod val="100000"/>
                  </a:schemeClr>
                </a:gs>
                <a:gs pos="78000">
                  <a:schemeClr val="accent2">
                    <a:shade val="94000"/>
                    <a:lumMod val="94000"/>
                  </a:schemeClr>
                </a:gs>
              </a:gsLst>
              <a:lin ang="5400000" scaled="0"/>
            </a:gra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invertIfNegative val="0"/>
          <c:dPt>
            <c:idx val="0"/>
            <c:invertIfNegative val="0"/>
            <c:bubble3D val="0"/>
            <c:spPr>
              <a:solidFill>
                <a:schemeClr val="accent1"/>
              </a:soli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A-00A8-4EC2-8693-19C59691EA3C}"/>
              </c:ext>
            </c:extLst>
          </c:dPt>
          <c:dPt>
            <c:idx val="1"/>
            <c:invertIfNegative val="0"/>
            <c:bubble3D val="0"/>
            <c:spPr>
              <a:solidFill>
                <a:schemeClr val="accent2"/>
              </a:soli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6-938B-4DFC-839A-96B56D155E7B}"/>
              </c:ext>
            </c:extLst>
          </c:dPt>
          <c:dPt>
            <c:idx val="2"/>
            <c:invertIfNegative val="0"/>
            <c:bubble3D val="0"/>
            <c:spPr>
              <a:solidFill>
                <a:schemeClr val="accent3"/>
              </a:soli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7-938B-4DFC-839A-96B56D155E7B}"/>
              </c:ext>
            </c:extLst>
          </c:dPt>
          <c:dPt>
            <c:idx val="3"/>
            <c:invertIfNegative val="0"/>
            <c:bubble3D val="0"/>
            <c:spPr>
              <a:solidFill>
                <a:schemeClr val="accent4"/>
              </a:soli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8-938B-4DFC-839A-96B56D155E7B}"/>
              </c:ext>
            </c:extLst>
          </c:dPt>
          <c:dPt>
            <c:idx val="4"/>
            <c:invertIfNegative val="0"/>
            <c:bubble3D val="0"/>
            <c:spPr>
              <a:solidFill>
                <a:schemeClr val="accent5"/>
              </a:soli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9-938B-4DFC-839A-96B56D155E7B}"/>
              </c:ext>
            </c:extLst>
          </c:dPt>
          <c:dPt>
            <c:idx val="5"/>
            <c:invertIfNegative val="0"/>
            <c:bubble3D val="0"/>
            <c:spPr>
              <a:solidFill>
                <a:schemeClr val="accent6"/>
              </a:soli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2-938B-4DFC-839A-96B56D155E7B}"/>
              </c:ext>
            </c:extLst>
          </c:dPt>
          <c:cat>
            <c:strRef>
              <c:f>'Income Comps'!$C$12:$H$12</c:f>
              <c:strCache>
                <c:ptCount val="1"/>
                <c:pt idx="0">
                  <c:v>AAPL</c:v>
                </c:pt>
              </c:strCache>
            </c:strRef>
          </c:cat>
          <c:val>
            <c:numRef>
              <c:f>'Income Comps'!$C$22:$H$22</c:f>
              <c:numCache>
                <c:formatCode>0.0%</c:formatCode>
                <c:ptCount val="6"/>
                <c:pt idx="0">
                  <c:v>0.22414200000000001</c:v>
                </c:pt>
                <c:pt idx="1">
                  <c:v>0</c:v>
                </c:pt>
                <c:pt idx="2">
                  <c:v>0</c:v>
                </c:pt>
                <c:pt idx="3">
                  <c:v>0</c:v>
                </c:pt>
                <c:pt idx="4">
                  <c:v>0</c:v>
                </c:pt>
                <c:pt idx="5">
                  <c:v>0</c:v>
                </c:pt>
              </c:numCache>
            </c:numRef>
          </c:val>
          <c:extLst>
            <c:ext xmlns:c16="http://schemas.microsoft.com/office/drawing/2014/chart" uri="{C3380CC4-5D6E-409C-BE32-E72D297353CC}">
              <c16:uniqueId val="{00000000-938B-4DFC-839A-96B56D155E7B}"/>
            </c:ext>
          </c:extLst>
        </c:ser>
        <c:dLbls>
          <c:showLegendKey val="0"/>
          <c:showVal val="0"/>
          <c:showCatName val="0"/>
          <c:showSerName val="0"/>
          <c:showPercent val="0"/>
          <c:showBubbleSize val="0"/>
        </c:dLbls>
        <c:gapWidth val="100"/>
        <c:axId val="1343365231"/>
        <c:axId val="1343366479"/>
      </c:barChart>
      <c:lineChart>
        <c:grouping val="standard"/>
        <c:varyColors val="1"/>
        <c:ser>
          <c:idx val="2"/>
          <c:order val="1"/>
          <c:tx>
            <c:strRef>
              <c:f>'Income Comps'!$B$27</c:f>
              <c:strCache>
                <c:ptCount val="1"/>
                <c:pt idx="0">
                  <c:v>Median</c:v>
                </c:pt>
              </c:strCache>
            </c:strRef>
          </c:tx>
          <c:spPr>
            <a:ln w="34925" cap="rnd">
              <a:solidFill>
                <a:srgbClr val="00B0F0"/>
              </a:solidFill>
              <a:round/>
            </a:ln>
            <a:effectLst>
              <a:outerShdw blurRad="50800" dist="38100" dir="5400000" rotWithShape="0">
                <a:srgbClr val="000000">
                  <a:alpha val="35000"/>
                </a:srgbClr>
              </a:outerShdw>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938B-4DFC-839A-96B56D155E7B}"/>
                </c:ext>
              </c:extLst>
            </c:dLbl>
            <c:dLbl>
              <c:idx val="1"/>
              <c:delete val="1"/>
              <c:extLst>
                <c:ext xmlns:c15="http://schemas.microsoft.com/office/drawing/2012/chart" uri="{CE6537A1-D6FC-4f65-9D91-7224C49458BB}"/>
                <c:ext xmlns:c16="http://schemas.microsoft.com/office/drawing/2014/chart" uri="{C3380CC4-5D6E-409C-BE32-E72D297353CC}">
                  <c16:uniqueId val="{00000012-938B-4DFC-839A-96B56D155E7B}"/>
                </c:ext>
              </c:extLst>
            </c:dLbl>
            <c:dLbl>
              <c:idx val="2"/>
              <c:delete val="1"/>
              <c:extLst>
                <c:ext xmlns:c15="http://schemas.microsoft.com/office/drawing/2012/chart" uri="{CE6537A1-D6FC-4f65-9D91-7224C49458BB}"/>
                <c:ext xmlns:c16="http://schemas.microsoft.com/office/drawing/2014/chart" uri="{C3380CC4-5D6E-409C-BE32-E72D297353CC}">
                  <c16:uniqueId val="{00000011-938B-4DFC-839A-96B56D155E7B}"/>
                </c:ext>
              </c:extLst>
            </c:dLbl>
            <c:dLbl>
              <c:idx val="3"/>
              <c:delete val="1"/>
              <c:extLst>
                <c:ext xmlns:c15="http://schemas.microsoft.com/office/drawing/2012/chart" uri="{CE6537A1-D6FC-4f65-9D91-7224C49458BB}"/>
                <c:ext xmlns:c16="http://schemas.microsoft.com/office/drawing/2014/chart" uri="{C3380CC4-5D6E-409C-BE32-E72D297353CC}">
                  <c16:uniqueId val="{00000010-938B-4DFC-839A-96B56D155E7B}"/>
                </c:ext>
              </c:extLst>
            </c:dLbl>
            <c:dLbl>
              <c:idx val="4"/>
              <c:delete val="1"/>
              <c:extLst>
                <c:ext xmlns:c15="http://schemas.microsoft.com/office/drawing/2012/chart" uri="{CE6537A1-D6FC-4f65-9D91-7224C49458BB}"/>
                <c:ext xmlns:c16="http://schemas.microsoft.com/office/drawing/2014/chart" uri="{C3380CC4-5D6E-409C-BE32-E72D297353CC}">
                  <c16:uniqueId val="{0000000F-938B-4DFC-839A-96B56D155E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'Income Comps'!$D$12:$I$12</c:f>
              <c:strCache>
                <c:ptCount val="6"/>
                <c:pt idx="5">
                  <c:v>Mean</c:v>
                </c:pt>
              </c:strCache>
            </c:strRef>
          </c:cat>
          <c:val>
            <c:numRef>
              <c:f>'Income Comps'!$C$27:$H$27</c:f>
              <c:numCache>
                <c:formatCode>0.0%</c:formatCode>
                <c:ptCount val="6"/>
                <c:pt idx="0">
                  <c:v>0.22414200000000001</c:v>
                </c:pt>
                <c:pt idx="1">
                  <c:v>0.22414200000000001</c:v>
                </c:pt>
                <c:pt idx="2">
                  <c:v>0.22414200000000001</c:v>
                </c:pt>
                <c:pt idx="3">
                  <c:v>0.22414200000000001</c:v>
                </c:pt>
                <c:pt idx="4">
                  <c:v>0.22414200000000001</c:v>
                </c:pt>
                <c:pt idx="5">
                  <c:v>0.22414200000000001</c:v>
                </c:pt>
              </c:numCache>
            </c:numRef>
          </c:val>
          <c:smooth val="0"/>
          <c:extLst>
            <c:ext xmlns:c16="http://schemas.microsoft.com/office/drawing/2014/chart" uri="{C3380CC4-5D6E-409C-BE32-E72D297353CC}">
              <c16:uniqueId val="{00000004-938B-4DFC-839A-96B56D155E7B}"/>
            </c:ext>
          </c:extLst>
        </c:ser>
        <c:dLbls>
          <c:showLegendKey val="0"/>
          <c:showVal val="0"/>
          <c:showCatName val="0"/>
          <c:showSerName val="0"/>
          <c:showPercent val="0"/>
          <c:showBubbleSize val="0"/>
        </c:dLbls>
        <c:marker val="1"/>
        <c:smooth val="0"/>
        <c:axId val="1343365231"/>
        <c:axId val="1343366479"/>
      </c:lineChart>
      <c:catAx>
        <c:axId val="1343365231"/>
        <c:scaling>
          <c:orientation val="minMax"/>
        </c:scaling>
        <c:delete val="1"/>
        <c:axPos val="b"/>
        <c:numFmt formatCode="General" sourceLinked="1"/>
        <c:majorTickMark val="none"/>
        <c:minorTickMark val="none"/>
        <c:tickLblPos val="low"/>
        <c:crossAx val="1343366479"/>
        <c:crosses val="autoZero"/>
        <c:auto val="1"/>
        <c:lblAlgn val="ctr"/>
        <c:lblOffset val="100"/>
        <c:noMultiLvlLbl val="0"/>
      </c:catAx>
      <c:valAx>
        <c:axId val="13433664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Profit Margin</a:t>
                </a:r>
              </a:p>
            </c:rich>
          </c:tx>
          <c:layout>
            <c:manualLayout>
              <c:xMode val="edge"/>
              <c:yMode val="edge"/>
              <c:x val="0.13360180132529809"/>
              <c:y val="0.40451670820902091"/>
            </c:manualLayout>
          </c:layout>
          <c:overlay val="0"/>
          <c:spPr>
            <a:noFill/>
            <a:ln>
              <a:noFill/>
            </a:ln>
            <a:effectLst/>
          </c:sp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336523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tx2"/>
                </a:solidFill>
                <a:latin typeface="+mn-lt"/>
                <a:ea typeface="+mn-ea"/>
                <a:cs typeface="+mn-cs"/>
              </a:defRPr>
            </a:pPr>
            <a:r>
              <a:rPr lang="en-US" sz="1200"/>
              <a:t>Comparable Companies ROIC / ROE</a:t>
            </a:r>
          </a:p>
        </c:rich>
      </c:tx>
      <c:layout>
        <c:manualLayout>
          <c:xMode val="edge"/>
          <c:yMode val="edge"/>
          <c:x val="8.7668066474620079E-3"/>
          <c:y val="0"/>
        </c:manualLayout>
      </c:layout>
      <c:overlay val="1"/>
      <c:spPr>
        <a:noFill/>
        <a:ln>
          <a:noFill/>
        </a:ln>
        <a:effectLst/>
      </c:spPr>
    </c:title>
    <c:autoTitleDeleted val="0"/>
    <c:plotArea>
      <c:layout>
        <c:manualLayout>
          <c:layoutTarget val="inner"/>
          <c:xMode val="edge"/>
          <c:yMode val="edge"/>
          <c:x val="1.1620134679552637E-2"/>
          <c:y val="9.6746201217886116E-2"/>
          <c:w val="0.94745297513725402"/>
          <c:h val="0.75292153718547006"/>
        </c:manualLayout>
      </c:layout>
      <c:barChart>
        <c:barDir val="col"/>
        <c:grouping val="clustered"/>
        <c:varyColors val="1"/>
        <c:ser>
          <c:idx val="0"/>
          <c:order val="0"/>
          <c:tx>
            <c:v>ROIC</c:v>
          </c:tx>
          <c:spPr>
            <a:ln>
              <a:noFill/>
            </a:ln>
            <a:effectLst>
              <a:outerShdw blurRad="38100" dist="25400" dir="5400000" rotWithShape="0">
                <a:srgbClr val="000000">
                  <a:alpha val="35000"/>
                </a:srgbClr>
              </a:outerShdw>
            </a:effectLst>
          </c:spPr>
          <c:invertIfNegative val="0"/>
          <c:val>
            <c:numRef>
              <c:f>'ROIC Comps'!$C$7:$H$7</c:f>
              <c:numCache>
                <c:formatCode>0.0%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strRef>
                    <c:extLst>
                      <c:ext uri="{02D57815-91ED-43cb-92C2-25804820EDAC}">
                        <c15:formulaRef>
                          <c15:sqref>'ROIC Comps'!$C$29:$H$29</c15:sqref>
                        </c15:formulaRef>
                      </c:ext>
                    </c:extLst>
                    <c:strCache>
                      <c:ptCount val="1"/>
                      <c:pt idx="0">
                        <c:v>AAPL</c:v>
                      </c:pt>
                    </c:strCache>
                  </c:strRef>
                </c15:cat>
              </c15:filteredCategoryTitle>
            </c:ext>
            <c:ext xmlns:c16="http://schemas.microsoft.com/office/drawing/2014/chart" uri="{C3380CC4-5D6E-409C-BE32-E72D297353CC}">
              <c16:uniqueId val="{00000005-5183-4971-B80F-F56F14285E3E}"/>
            </c:ext>
          </c:extLst>
        </c:ser>
        <c:ser>
          <c:idx val="1"/>
          <c:order val="1"/>
          <c:tx>
            <c:v>ROE</c:v>
          </c:tx>
          <c:spPr>
            <a:solidFill>
              <a:schemeClr val="accent3"/>
            </a:solidFill>
          </c:spPr>
          <c:invertIfNegative val="0"/>
          <c:val>
            <c:numRef>
              <c:f>'ROIC Comps'!$C$14:$H$14</c:f>
              <c:numCache>
                <c:formatCode>0.0%</c:formatCode>
                <c:ptCount val="6"/>
                <c:pt idx="0">
                  <c:v>0.491282</c:v>
                </c:pt>
                <c:pt idx="1">
                  <c:v>0</c:v>
                </c:pt>
                <c:pt idx="2">
                  <c:v>0</c:v>
                </c:pt>
                <c:pt idx="3">
                  <c:v>0</c:v>
                </c:pt>
                <c:pt idx="4">
                  <c:v>0</c:v>
                </c:pt>
                <c:pt idx="5">
                  <c:v>0</c:v>
                </c:pt>
              </c:numCache>
            </c:numRef>
          </c:val>
          <c:extLst>
            <c:ext xmlns:c15="http://schemas.microsoft.com/office/drawing/2012/chart" uri="{02D57815-91ED-43cb-92C2-25804820EDAC}">
              <c15:filteredCategoryTitle>
                <c15:cat>
                  <c:strRef>
                    <c:extLst>
                      <c:ext uri="{02D57815-91ED-43cb-92C2-25804820EDAC}">
                        <c15:formulaRef>
                          <c15:sqref>'ROIC Comps'!$C$29:$H$29</c15:sqref>
                        </c15:formulaRef>
                      </c:ext>
                    </c:extLst>
                    <c:strCache>
                      <c:ptCount val="1"/>
                      <c:pt idx="0">
                        <c:v>AAPL</c:v>
                      </c:pt>
                    </c:strCache>
                  </c:strRef>
                </c15:cat>
              </c15:filteredCategoryTitle>
            </c:ext>
            <c:ext xmlns:c16="http://schemas.microsoft.com/office/drawing/2014/chart" uri="{C3380CC4-5D6E-409C-BE32-E72D297353CC}">
              <c16:uniqueId val="{00000006-5183-4971-B80F-F56F14285E3E}"/>
            </c:ext>
          </c:extLst>
        </c:ser>
        <c:dLbls>
          <c:showLegendKey val="0"/>
          <c:showVal val="0"/>
          <c:showCatName val="0"/>
          <c:showSerName val="0"/>
          <c:showPercent val="0"/>
          <c:showBubbleSize val="0"/>
        </c:dLbls>
        <c:gapWidth val="100"/>
        <c:axId val="2025191663"/>
        <c:axId val="2025196655"/>
      </c:barChart>
      <c:valAx>
        <c:axId val="2025196655"/>
        <c:scaling>
          <c:orientation val="minMax"/>
        </c:scaling>
        <c:delete val="0"/>
        <c:axPos val="r"/>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25191663"/>
        <c:crosses val="max"/>
        <c:crossBetween val="between"/>
      </c:valAx>
      <c:catAx>
        <c:axId val="2025191663"/>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25196655"/>
        <c:crosses val="autoZero"/>
        <c:auto val="1"/>
        <c:lblAlgn val="ctr"/>
        <c:lblOffset val="100"/>
        <c:noMultiLvlLbl val="0"/>
      </c:catAx>
      <c:spPr>
        <a:noFill/>
        <a:ln>
          <a:noFill/>
        </a:ln>
        <a:effectLst/>
      </c:spPr>
    </c:plotArea>
    <c:legend>
      <c:legendPos val="b"/>
      <c:layout>
        <c:manualLayout>
          <c:xMode val="edge"/>
          <c:yMode val="edge"/>
          <c:x val="0.42619511536582494"/>
          <c:y val="0.91965380853573053"/>
          <c:w val="8.303198153802549E-2"/>
          <c:h val="6.3469433243005011E-2"/>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tx2"/>
                </a:solidFill>
                <a:latin typeface="+mn-lt"/>
                <a:ea typeface="+mn-ea"/>
                <a:cs typeface="+mn-cs"/>
              </a:defRPr>
            </a:pPr>
            <a:r>
              <a:rPr lang="en-US" sz="1200"/>
              <a:t>Comparable Companies Cash Conversion Cycle</a:t>
            </a:r>
          </a:p>
          <a:p>
            <a:pPr>
              <a:defRPr sz="1200" b="1" i="0" u="none" strike="noStrike" kern="1200" baseline="0">
                <a:solidFill>
                  <a:schemeClr val="tx2"/>
                </a:solidFill>
                <a:latin typeface="+mn-lt"/>
                <a:ea typeface="+mn-ea"/>
                <a:cs typeface="+mn-cs"/>
              </a:defRPr>
            </a:pPr>
            <a:endParaRPr lang="en-US" sz="1200"/>
          </a:p>
        </c:rich>
      </c:tx>
      <c:layout>
        <c:manualLayout>
          <c:xMode val="edge"/>
          <c:yMode val="edge"/>
          <c:x val="8.1160289379131117E-4"/>
          <c:y val="0"/>
        </c:manualLayout>
      </c:layout>
      <c:overlay val="1"/>
      <c:spPr>
        <a:noFill/>
        <a:ln>
          <a:noFill/>
        </a:ln>
        <a:effectLst/>
      </c:spPr>
    </c:title>
    <c:autoTitleDeleted val="0"/>
    <c:plotArea>
      <c:layout>
        <c:manualLayout>
          <c:layoutTarget val="inner"/>
          <c:xMode val="edge"/>
          <c:yMode val="edge"/>
          <c:x val="1.1620134679552637E-2"/>
          <c:y val="9.6746201217886116E-2"/>
          <c:w val="0.94745297513725402"/>
          <c:h val="0.84423154037034476"/>
        </c:manualLayout>
      </c:layout>
      <c:barChart>
        <c:barDir val="col"/>
        <c:grouping val="clustered"/>
        <c:varyColors val="1"/>
        <c:ser>
          <c:idx val="0"/>
          <c:order val="0"/>
          <c:tx>
            <c:v>DSO</c:v>
          </c:tx>
          <c:invertIfNegative val="0"/>
          <c:val>
            <c:numRef>
              <c:f>'NWC Comps'!$C$5:$H$5</c:f>
              <c:numCache>
                <c:formatCode>0.0</c:formatCode>
                <c:ptCount val="6"/>
                <c:pt idx="0">
                  <c:v>21.149799999999999</c:v>
                </c:pt>
                <c:pt idx="1">
                  <c:v>0</c:v>
                </c:pt>
                <c:pt idx="2">
                  <c:v>0</c:v>
                </c:pt>
                <c:pt idx="3">
                  <c:v>0</c:v>
                </c:pt>
                <c:pt idx="4">
                  <c:v>0</c:v>
                </c:pt>
                <c:pt idx="5">
                  <c:v>0</c:v>
                </c:pt>
              </c:numCache>
            </c:numRef>
          </c:val>
          <c:extLst>
            <c:ext xmlns:c15="http://schemas.microsoft.com/office/drawing/2012/chart" uri="{02D57815-91ED-43cb-92C2-25804820EDAC}">
              <c15:filteredCategoryTitle>
                <c15:cat>
                  <c:strRef>
                    <c:extLst>
                      <c:ext uri="{02D57815-91ED-43cb-92C2-25804820EDAC}">
                        <c15:formulaRef>
                          <c15:sqref>'NWC Comps'!$C$30:$H$30</c15:sqref>
                        </c15:formulaRef>
                      </c:ext>
                    </c:extLst>
                    <c:strCache>
                      <c:ptCount val="1"/>
                      <c:pt idx="0">
                        <c:v>AAPL</c:v>
                      </c:pt>
                    </c:strCache>
                  </c:strRef>
                </c15:cat>
              </c15:filteredCategoryTitle>
            </c:ext>
            <c:ext xmlns:c16="http://schemas.microsoft.com/office/drawing/2014/chart" uri="{C3380CC4-5D6E-409C-BE32-E72D297353CC}">
              <c16:uniqueId val="{00000000-4DFB-460F-9320-C796702A65B2}"/>
            </c:ext>
          </c:extLst>
        </c:ser>
        <c:ser>
          <c:idx val="1"/>
          <c:order val="1"/>
          <c:tx>
            <c:v>DIO</c:v>
          </c:tx>
          <c:invertIfNegative val="0"/>
          <c:val>
            <c:numRef>
              <c:f>'NWC Comps'!$C$6:$H$6</c:f>
              <c:numCache>
                <c:formatCode>0.0</c:formatCode>
                <c:ptCount val="6"/>
                <c:pt idx="0">
                  <c:v>14.732799999999999</c:v>
                </c:pt>
                <c:pt idx="1">
                  <c:v>0</c:v>
                </c:pt>
                <c:pt idx="2">
                  <c:v>0</c:v>
                </c:pt>
                <c:pt idx="3">
                  <c:v>0</c:v>
                </c:pt>
                <c:pt idx="4">
                  <c:v>0</c:v>
                </c:pt>
                <c:pt idx="5">
                  <c:v>0</c:v>
                </c:pt>
              </c:numCache>
            </c:numRef>
          </c:val>
          <c:extLst>
            <c:ext xmlns:c15="http://schemas.microsoft.com/office/drawing/2012/chart" uri="{02D57815-91ED-43cb-92C2-25804820EDAC}">
              <c15:filteredCategoryTitle>
                <c15:cat>
                  <c:strRef>
                    <c:extLst>
                      <c:ext uri="{02D57815-91ED-43cb-92C2-25804820EDAC}">
                        <c15:formulaRef>
                          <c15:sqref>'NWC Comps'!$C$30:$H$30</c15:sqref>
                        </c15:formulaRef>
                      </c:ext>
                    </c:extLst>
                    <c:strCache>
                      <c:ptCount val="1"/>
                      <c:pt idx="0">
                        <c:v>AAPL</c:v>
                      </c:pt>
                    </c:strCache>
                  </c:strRef>
                </c15:cat>
              </c15:filteredCategoryTitle>
            </c:ext>
            <c:ext xmlns:c16="http://schemas.microsoft.com/office/drawing/2014/chart" uri="{C3380CC4-5D6E-409C-BE32-E72D297353CC}">
              <c16:uniqueId val="{00000001-4DFB-460F-9320-C796702A65B2}"/>
            </c:ext>
          </c:extLst>
        </c:ser>
        <c:ser>
          <c:idx val="2"/>
          <c:order val="2"/>
          <c:tx>
            <c:v>DPO</c:v>
          </c:tx>
          <c:spPr>
            <a:effectLst>
              <a:outerShdw blurRad="38100" dist="25400" dir="5400000" rotWithShape="0">
                <a:srgbClr val="000000">
                  <a:alpha val="35000"/>
                </a:srgbClr>
              </a:outerShdw>
            </a:effectLst>
          </c:spPr>
          <c:invertIfNegative val="0"/>
          <c:val>
            <c:numRef>
              <c:f>'NWC Comps'!$C$7:$H$7</c:f>
              <c:numCache>
                <c:formatCode>0.0</c:formatCode>
                <c:ptCount val="6"/>
                <c:pt idx="0">
                  <c:v>-76.040999999999997</c:v>
                </c:pt>
                <c:pt idx="1">
                  <c:v>0</c:v>
                </c:pt>
                <c:pt idx="2">
                  <c:v>0</c:v>
                </c:pt>
                <c:pt idx="3">
                  <c:v>0</c:v>
                </c:pt>
                <c:pt idx="4">
                  <c:v>0</c:v>
                </c:pt>
                <c:pt idx="5">
                  <c:v>0</c:v>
                </c:pt>
              </c:numCache>
            </c:numRef>
          </c:val>
          <c:extLst>
            <c:ext xmlns:c15="http://schemas.microsoft.com/office/drawing/2012/chart" uri="{02D57815-91ED-43cb-92C2-25804820EDAC}">
              <c15:filteredCategoryTitle>
                <c15:cat>
                  <c:strRef>
                    <c:extLst>
                      <c:ext uri="{02D57815-91ED-43cb-92C2-25804820EDAC}">
                        <c15:formulaRef>
                          <c15:sqref>'NWC Comps'!$C$30:$H$30</c15:sqref>
                        </c15:formulaRef>
                      </c:ext>
                    </c:extLst>
                    <c:strCache>
                      <c:ptCount val="1"/>
                      <c:pt idx="0">
                        <c:v>AAPL</c:v>
                      </c:pt>
                    </c:strCache>
                  </c:strRef>
                </c15:cat>
              </c15:filteredCategoryTitle>
            </c:ext>
            <c:ext xmlns:c16="http://schemas.microsoft.com/office/drawing/2014/chart" uri="{C3380CC4-5D6E-409C-BE32-E72D297353CC}">
              <c16:uniqueId val="{00000002-4DFB-460F-9320-C796702A65B2}"/>
            </c:ext>
          </c:extLst>
        </c:ser>
        <c:dLbls>
          <c:showLegendKey val="0"/>
          <c:showVal val="0"/>
          <c:showCatName val="0"/>
          <c:showSerName val="0"/>
          <c:showPercent val="0"/>
          <c:showBubbleSize val="0"/>
        </c:dLbls>
        <c:gapWidth val="100"/>
        <c:axId val="2025191663"/>
        <c:axId val="2025196655"/>
      </c:barChart>
      <c:valAx>
        <c:axId val="2025196655"/>
        <c:scaling>
          <c:orientation val="minMax"/>
        </c:scaling>
        <c:delete val="0"/>
        <c:axPos val="r"/>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25191663"/>
        <c:crosses val="max"/>
        <c:crossBetween val="between"/>
      </c:valAx>
      <c:catAx>
        <c:axId val="2025191663"/>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25196655"/>
        <c:crosses val="autoZero"/>
        <c:auto val="1"/>
        <c:lblAlgn val="ctr"/>
        <c:lblOffset val="100"/>
        <c:noMultiLvlLbl val="0"/>
      </c:catAx>
      <c:spPr>
        <a:noFill/>
        <a:ln>
          <a:noFill/>
        </a:ln>
        <a:effectLst/>
      </c:spPr>
    </c:plotArea>
    <c:legend>
      <c:legendPos val="b"/>
      <c:layout>
        <c:manualLayout>
          <c:xMode val="edge"/>
          <c:yMode val="edge"/>
          <c:x val="0.3731600605350941"/>
          <c:y val="0.91965380853573053"/>
          <c:w val="0.22777216571649064"/>
          <c:h val="8.0346191464269454E-2"/>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tx2"/>
                </a:solidFill>
                <a:latin typeface="+mn-lt"/>
                <a:ea typeface="+mn-ea"/>
                <a:cs typeface="+mn-cs"/>
              </a:defRPr>
            </a:pPr>
            <a:r>
              <a:rPr lang="en-US" sz="1200"/>
              <a:t>Comparable Companies Capital Structure</a:t>
            </a:r>
          </a:p>
        </c:rich>
      </c:tx>
      <c:layout>
        <c:manualLayout>
          <c:xMode val="edge"/>
          <c:yMode val="edge"/>
          <c:x val="1.0073595901250362E-2"/>
          <c:y val="0"/>
        </c:manualLayout>
      </c:layout>
      <c:overlay val="1"/>
      <c:spPr>
        <a:noFill/>
        <a:ln>
          <a:noFill/>
        </a:ln>
        <a:effectLst/>
      </c:spPr>
    </c:title>
    <c:autoTitleDeleted val="0"/>
    <c:plotArea>
      <c:layout>
        <c:manualLayout>
          <c:layoutTarget val="inner"/>
          <c:xMode val="edge"/>
          <c:yMode val="edge"/>
          <c:x val="1.1620134679552637E-2"/>
          <c:y val="9.6746201217886116E-2"/>
          <c:w val="0.9422258181221006"/>
          <c:h val="0.74800602401944216"/>
        </c:manualLayout>
      </c:layout>
      <c:barChart>
        <c:barDir val="col"/>
        <c:grouping val="stacked"/>
        <c:varyColors val="1"/>
        <c:ser>
          <c:idx val="4"/>
          <c:order val="0"/>
          <c:tx>
            <c:v>Common Equity</c:v>
          </c:tx>
          <c:spPr>
            <a:gradFill rotWithShape="1">
              <a:gsLst>
                <a:gs pos="0">
                  <a:schemeClr val="accent5">
                    <a:tint val="96000"/>
                    <a:lumMod val="100000"/>
                  </a:schemeClr>
                </a:gs>
                <a:gs pos="78000">
                  <a:schemeClr val="accent5">
                    <a:shade val="94000"/>
                    <a:lumMod val="94000"/>
                  </a:schemeClr>
                </a:gs>
              </a:gsLst>
              <a:lin ang="5400000" scaled="0"/>
            </a:gradFill>
            <a:ln>
              <a:noFill/>
            </a:ln>
            <a:effectLst>
              <a:outerShdw blurRad="38100" dist="25400" dir="5400000" rotWithShape="0">
                <a:srgbClr val="000000">
                  <a:alpha val="35000"/>
                </a:srgbClr>
              </a:outerShdw>
            </a:effectLst>
          </c:spPr>
          <c:invertIfNegative val="0"/>
          <c:val>
            <c:numRef>
              <c:f>'Debt Comps'!$C$9:$H$9</c:f>
              <c:numCache>
                <c:formatCode>0.0%</c:formatCode>
                <c:ptCount val="6"/>
                <c:pt idx="0">
                  <c:v>0.48456100000000002</c:v>
                </c:pt>
                <c:pt idx="1">
                  <c:v>0</c:v>
                </c:pt>
                <c:pt idx="2">
                  <c:v>0</c:v>
                </c:pt>
                <c:pt idx="3">
                  <c:v>0</c:v>
                </c:pt>
                <c:pt idx="4">
                  <c:v>0</c:v>
                </c:pt>
                <c:pt idx="5">
                  <c:v>0</c:v>
                </c:pt>
              </c:numCache>
            </c:numRef>
          </c:val>
          <c:extLst>
            <c:ext xmlns:c15="http://schemas.microsoft.com/office/drawing/2012/chart" uri="{02D57815-91ED-43cb-92C2-25804820EDAC}">
              <c15:filteredCategoryTitle>
                <c15:cat>
                  <c:strRef>
                    <c:extLst>
                      <c:ext uri="{02D57815-91ED-43cb-92C2-25804820EDAC}">
                        <c15:formulaRef>
                          <c15:sqref>'Debt Comps'!$C$32:$H$32</c15:sqref>
                        </c15:formulaRef>
                      </c:ext>
                    </c:extLst>
                    <c:strCache>
                      <c:ptCount val="1"/>
                      <c:pt idx="0">
                        <c:v>AAPL</c:v>
                      </c:pt>
                    </c:strCache>
                  </c:strRef>
                </c15:cat>
              </c15:filteredCategoryTitle>
            </c:ext>
            <c:ext xmlns:c16="http://schemas.microsoft.com/office/drawing/2014/chart" uri="{C3380CC4-5D6E-409C-BE32-E72D297353CC}">
              <c16:uniqueId val="{00000016-44A8-4667-8012-957219B571F4}"/>
            </c:ext>
          </c:extLst>
        </c:ser>
        <c:ser>
          <c:idx val="3"/>
          <c:order val="1"/>
          <c:tx>
            <c:v>Noncontrolling Interests</c:v>
          </c:tx>
          <c:spPr>
            <a:gradFill rotWithShape="1">
              <a:gsLst>
                <a:gs pos="0">
                  <a:schemeClr val="accent4">
                    <a:tint val="96000"/>
                    <a:lumMod val="100000"/>
                  </a:schemeClr>
                </a:gs>
                <a:gs pos="78000">
                  <a:schemeClr val="accent4">
                    <a:shade val="94000"/>
                    <a:lumMod val="94000"/>
                  </a:schemeClr>
                </a:gs>
              </a:gsLst>
              <a:lin ang="5400000" scaled="0"/>
            </a:gradFill>
            <a:ln>
              <a:noFill/>
            </a:ln>
            <a:effectLst>
              <a:outerShdw blurRad="38100" dist="25400" dir="5400000" rotWithShape="0">
                <a:srgbClr val="000000">
                  <a:alpha val="35000"/>
                </a:srgbClr>
              </a:outerShdw>
            </a:effectLst>
          </c:spPr>
          <c:invertIfNegative val="0"/>
          <c:val>
            <c:numRef>
              <c:f>'Debt Comps'!$C$8:$H$8</c:f>
              <c:numCache>
                <c:formatCode>0.0%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strRef>
                    <c:extLst>
                      <c:ext uri="{02D57815-91ED-43cb-92C2-25804820EDAC}">
                        <c15:formulaRef>
                          <c15:sqref>'Debt Comps'!$C$32:$H$32</c15:sqref>
                        </c15:formulaRef>
                      </c:ext>
                    </c:extLst>
                    <c:strCache>
                      <c:ptCount val="1"/>
                      <c:pt idx="0">
                        <c:v>AAPL</c:v>
                      </c:pt>
                    </c:strCache>
                  </c:strRef>
                </c15:cat>
              </c15:filteredCategoryTitle>
            </c:ext>
            <c:ext xmlns:c16="http://schemas.microsoft.com/office/drawing/2014/chart" uri="{C3380CC4-5D6E-409C-BE32-E72D297353CC}">
              <c16:uniqueId val="{00000015-44A8-4667-8012-957219B571F4}"/>
            </c:ext>
          </c:extLst>
        </c:ser>
        <c:ser>
          <c:idx val="2"/>
          <c:order val="2"/>
          <c:tx>
            <c:v>Preferred Equity</c:v>
          </c:tx>
          <c:spPr>
            <a:gradFill rotWithShape="1">
              <a:gsLst>
                <a:gs pos="0">
                  <a:schemeClr val="accent3">
                    <a:tint val="96000"/>
                    <a:lumMod val="100000"/>
                  </a:schemeClr>
                </a:gs>
                <a:gs pos="78000">
                  <a:schemeClr val="accent3">
                    <a:shade val="94000"/>
                    <a:lumMod val="94000"/>
                  </a:schemeClr>
                </a:gs>
              </a:gsLst>
              <a:lin ang="5400000" scaled="0"/>
            </a:gradFill>
            <a:ln>
              <a:noFill/>
            </a:ln>
            <a:effectLst>
              <a:outerShdw blurRad="38100" dist="25400" dir="5400000" rotWithShape="0">
                <a:srgbClr val="000000">
                  <a:alpha val="35000"/>
                </a:srgbClr>
              </a:outerShdw>
            </a:effectLst>
          </c:spPr>
          <c:invertIfNegative val="0"/>
          <c:val>
            <c:numRef>
              <c:f>'Debt Comps'!$C$7:$H$7</c:f>
              <c:numCache>
                <c:formatCode>0.0%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strRef>
                    <c:extLst>
                      <c:ext uri="{02D57815-91ED-43cb-92C2-25804820EDAC}">
                        <c15:formulaRef>
                          <c15:sqref>'Debt Comps'!$C$32:$H$32</c15:sqref>
                        </c15:formulaRef>
                      </c:ext>
                    </c:extLst>
                    <c:strCache>
                      <c:ptCount val="1"/>
                      <c:pt idx="0">
                        <c:v>AAPL</c:v>
                      </c:pt>
                    </c:strCache>
                  </c:strRef>
                </c15:cat>
              </c15:filteredCategoryTitle>
            </c:ext>
            <c:ext xmlns:c16="http://schemas.microsoft.com/office/drawing/2014/chart" uri="{C3380CC4-5D6E-409C-BE32-E72D297353CC}">
              <c16:uniqueId val="{00000014-44A8-4667-8012-957219B571F4}"/>
            </c:ext>
          </c:extLst>
        </c:ser>
        <c:ser>
          <c:idx val="0"/>
          <c:order val="3"/>
          <c:tx>
            <c:v>Long-Term Debt</c:v>
          </c:tx>
          <c:spPr>
            <a:gradFill rotWithShape="1">
              <a:gsLst>
                <a:gs pos="0">
                  <a:schemeClr val="accent1">
                    <a:tint val="96000"/>
                    <a:lumMod val="100000"/>
                  </a:schemeClr>
                </a:gs>
                <a:gs pos="78000">
                  <a:schemeClr val="accent1">
                    <a:shade val="94000"/>
                    <a:lumMod val="94000"/>
                  </a:schemeClr>
                </a:gs>
              </a:gsLst>
              <a:lin ang="5400000" scaled="0"/>
            </a:gradFill>
            <a:ln>
              <a:noFill/>
            </a:ln>
            <a:effectLst>
              <a:outerShdw blurRad="38100" dist="25400" dir="5400000" rotWithShape="0">
                <a:srgbClr val="000000">
                  <a:alpha val="35000"/>
                </a:srgbClr>
              </a:outerShdw>
            </a:effectLst>
          </c:spPr>
          <c:invertIfNegative val="0"/>
          <c:val>
            <c:numRef>
              <c:f>'Debt Comps'!$C$6:$H$6</c:f>
              <c:numCache>
                <c:formatCode>0.0%</c:formatCode>
                <c:ptCount val="6"/>
                <c:pt idx="0">
                  <c:v>0.412883</c:v>
                </c:pt>
                <c:pt idx="1">
                  <c:v>0</c:v>
                </c:pt>
                <c:pt idx="2">
                  <c:v>0</c:v>
                </c:pt>
                <c:pt idx="3">
                  <c:v>0</c:v>
                </c:pt>
                <c:pt idx="4">
                  <c:v>0</c:v>
                </c:pt>
                <c:pt idx="5">
                  <c:v>0</c:v>
                </c:pt>
              </c:numCache>
            </c:numRef>
          </c:val>
          <c:extLst>
            <c:ext xmlns:c15="http://schemas.microsoft.com/office/drawing/2012/chart" uri="{02D57815-91ED-43cb-92C2-25804820EDAC}">
              <c15:filteredCategoryTitle>
                <c15:cat>
                  <c:strRef>
                    <c:extLst>
                      <c:ext uri="{02D57815-91ED-43cb-92C2-25804820EDAC}">
                        <c15:formulaRef>
                          <c15:sqref>'Debt Comps'!$C$32:$H$32</c15:sqref>
                        </c15:formulaRef>
                      </c:ext>
                    </c:extLst>
                    <c:strCache>
                      <c:ptCount val="1"/>
                      <c:pt idx="0">
                        <c:v>AAPL</c:v>
                      </c:pt>
                    </c:strCache>
                  </c:strRef>
                </c15:cat>
              </c15:filteredCategoryTitle>
            </c:ext>
            <c:ext xmlns:c16="http://schemas.microsoft.com/office/drawing/2014/chart" uri="{C3380CC4-5D6E-409C-BE32-E72D297353CC}">
              <c16:uniqueId val="{00000013-44A8-4667-8012-957219B571F4}"/>
            </c:ext>
          </c:extLst>
        </c:ser>
        <c:ser>
          <c:idx val="1"/>
          <c:order val="4"/>
          <c:tx>
            <c:v>Short-Term Debt</c:v>
          </c:tx>
          <c:spPr>
            <a:gradFill rotWithShape="1">
              <a:gsLst>
                <a:gs pos="0">
                  <a:schemeClr val="accent2">
                    <a:tint val="96000"/>
                    <a:lumMod val="100000"/>
                  </a:schemeClr>
                </a:gs>
                <a:gs pos="78000">
                  <a:schemeClr val="accent2">
                    <a:shade val="94000"/>
                    <a:lumMod val="94000"/>
                  </a:schemeClr>
                </a:gs>
              </a:gsLst>
              <a:lin ang="5400000" scaled="0"/>
            </a:gradFill>
            <a:ln>
              <a:noFill/>
            </a:ln>
            <a:effectLst>
              <a:outerShdw blurRad="38100" dist="25400" dir="5400000" rotWithShape="0">
                <a:srgbClr val="000000">
                  <a:alpha val="35000"/>
                </a:srgbClr>
              </a:outerShdw>
            </a:effectLst>
          </c:spPr>
          <c:invertIfNegative val="0"/>
          <c:val>
            <c:numRef>
              <c:f>'Debt Comps'!$C$5:$H$5</c:f>
              <c:numCache>
                <c:formatCode>0.0%</c:formatCode>
                <c:ptCount val="6"/>
                <c:pt idx="0">
                  <c:v>0.10255599999999999</c:v>
                </c:pt>
                <c:pt idx="1">
                  <c:v>0</c:v>
                </c:pt>
                <c:pt idx="2">
                  <c:v>0</c:v>
                </c:pt>
                <c:pt idx="3">
                  <c:v>0</c:v>
                </c:pt>
                <c:pt idx="4">
                  <c:v>0</c:v>
                </c:pt>
                <c:pt idx="5">
                  <c:v>0</c:v>
                </c:pt>
              </c:numCache>
            </c:numRef>
          </c:val>
          <c:extLst>
            <c:ext xmlns:c15="http://schemas.microsoft.com/office/drawing/2012/chart" uri="{02D57815-91ED-43cb-92C2-25804820EDAC}">
              <c15:filteredCategoryTitle>
                <c15:cat>
                  <c:strRef>
                    <c:extLst>
                      <c:ext uri="{02D57815-91ED-43cb-92C2-25804820EDAC}">
                        <c15:formulaRef>
                          <c15:sqref>'Debt Comps'!$C$32:$H$32</c15:sqref>
                        </c15:formulaRef>
                      </c:ext>
                    </c:extLst>
                    <c:strCache>
                      <c:ptCount val="1"/>
                      <c:pt idx="0">
                        <c:v>AAPL</c:v>
                      </c:pt>
                    </c:strCache>
                  </c:strRef>
                </c15:cat>
              </c15:filteredCategoryTitle>
            </c:ext>
            <c:ext xmlns:c16="http://schemas.microsoft.com/office/drawing/2014/chart" uri="{C3380CC4-5D6E-409C-BE32-E72D297353CC}">
              <c16:uniqueId val="{0000000C-44A8-4667-8012-957219B571F4}"/>
            </c:ext>
          </c:extLst>
        </c:ser>
        <c:dLbls>
          <c:showLegendKey val="0"/>
          <c:showVal val="0"/>
          <c:showCatName val="0"/>
          <c:showSerName val="0"/>
          <c:showPercent val="0"/>
          <c:showBubbleSize val="0"/>
        </c:dLbls>
        <c:gapWidth val="0"/>
        <c:overlap val="100"/>
        <c:axId val="2025191663"/>
        <c:axId val="2025196655"/>
      </c:barChart>
      <c:valAx>
        <c:axId val="2025196655"/>
        <c:scaling>
          <c:orientation val="minMax"/>
          <c:max val="1"/>
        </c:scaling>
        <c:delete val="0"/>
        <c:axPos val="r"/>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25191663"/>
        <c:crosses val="max"/>
        <c:crossBetween val="between"/>
      </c:valAx>
      <c:catAx>
        <c:axId val="2025191663"/>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25196655"/>
        <c:crossesAt val="0"/>
        <c:auto val="1"/>
        <c:lblAlgn val="ctr"/>
        <c:lblOffset val="100"/>
        <c:noMultiLvlLbl val="0"/>
      </c:catAx>
      <c:spPr>
        <a:noFill/>
        <a:ln>
          <a:noFill/>
        </a:ln>
        <a:effectLst/>
      </c:spPr>
    </c:plotArea>
    <c:legend>
      <c:legendPos val="b"/>
      <c:layout>
        <c:manualLayout>
          <c:xMode val="edge"/>
          <c:yMode val="edge"/>
          <c:x val="0.18197894402373377"/>
          <c:y val="0.91965380853573053"/>
          <c:w val="0.62216554178100725"/>
          <c:h val="7.6231728119187478E-2"/>
        </c:manualLayout>
      </c:layout>
      <c:overlay val="0"/>
      <c:spPr>
        <a:noFill/>
        <a:ln>
          <a:noFill/>
        </a:ln>
        <a:effectLst/>
      </c:spPr>
      <c:txPr>
        <a:bodyPr rot="0" spcFirstLastPara="1" vertOverflow="ellipsis" vert="horz" wrap="square" anchor="t" anchorCtr="0"/>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2.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106680</xdr:colOff>
          <xdr:row>3</xdr:row>
          <xdr:rowOff>30480</xdr:rowOff>
        </xdr:from>
        <xdr:to>
          <xdr:col>5</xdr:col>
          <xdr:colOff>60960</xdr:colOff>
          <xdr:row>5</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Trebuchet MS"/>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3</xdr:row>
          <xdr:rowOff>30480</xdr:rowOff>
        </xdr:from>
        <xdr:to>
          <xdr:col>6</xdr:col>
          <xdr:colOff>198120</xdr:colOff>
          <xdr:row>5</xdr:row>
          <xdr:rowOff>114300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Trebuchet MS"/>
                </a:rPr>
                <a:t>Print w/</a:t>
              </a:r>
            </a:p>
            <a:p>
              <a:pPr algn="ctr" rtl="0">
                <a:defRPr sz="1000"/>
              </a:pPr>
              <a:r>
                <a:rPr lang="en-US" sz="1100" b="0" i="0" u="none" strike="noStrike" baseline="0">
                  <a:solidFill>
                    <a:srgbClr val="000000"/>
                  </a:solidFill>
                  <a:latin typeface="Trebuchet MS"/>
                </a:rPr>
                <a:t>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3</xdr:row>
          <xdr:rowOff>30480</xdr:rowOff>
        </xdr:from>
        <xdr:to>
          <xdr:col>7</xdr:col>
          <xdr:colOff>350520</xdr:colOff>
          <xdr:row>5</xdr:row>
          <xdr:rowOff>114300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Trebuchet MS"/>
                </a:rPr>
                <a:t>Print w/o</a:t>
              </a:r>
            </a:p>
            <a:p>
              <a:pPr algn="ctr" rtl="0">
                <a:defRPr sz="1000"/>
              </a:pPr>
              <a:r>
                <a:rPr lang="en-US" sz="1100" b="0" i="0" u="none" strike="noStrike" baseline="0">
                  <a:solidFill>
                    <a:srgbClr val="000000"/>
                  </a:solidFill>
                  <a:latin typeface="Trebuchet MS"/>
                </a:rPr>
                <a:t>Comps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36512</xdr:colOff>
      <xdr:row>19</xdr:row>
      <xdr:rowOff>104775</xdr:rowOff>
    </xdr:from>
    <xdr:to>
      <xdr:col>5</xdr:col>
      <xdr:colOff>166687</xdr:colOff>
      <xdr:row>34</xdr:row>
      <xdr:rowOff>65483</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199430</xdr:colOff>
      <xdr:row>19</xdr:row>
      <xdr:rowOff>42266</xdr:rowOff>
    </xdr:from>
    <xdr:to>
      <xdr:col>12</xdr:col>
      <xdr:colOff>0</xdr:colOff>
      <xdr:row>34</xdr:row>
      <xdr:rowOff>88699</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50600</xdr:colOff>
      <xdr:row>18</xdr:row>
      <xdr:rowOff>142874</xdr:rowOff>
    </xdr:from>
    <xdr:to>
      <xdr:col>10</xdr:col>
      <xdr:colOff>803670</xdr:colOff>
      <xdr:row>27</xdr:row>
      <xdr:rowOff>244078</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50602</xdr:colOff>
      <xdr:row>16</xdr:row>
      <xdr:rowOff>53577</xdr:rowOff>
    </xdr:from>
    <xdr:to>
      <xdr:col>4</xdr:col>
      <xdr:colOff>251817</xdr:colOff>
      <xdr:row>28</xdr:row>
      <xdr:rowOff>196453</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375048</xdr:colOff>
      <xdr:row>16</xdr:row>
      <xdr:rowOff>41670</xdr:rowOff>
    </xdr:from>
    <xdr:to>
      <xdr:col>10</xdr:col>
      <xdr:colOff>760810</xdr:colOff>
      <xdr:row>28</xdr:row>
      <xdr:rowOff>232172</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148828</xdr:colOff>
      <xdr:row>17</xdr:row>
      <xdr:rowOff>53577</xdr:rowOff>
    </xdr:from>
    <xdr:to>
      <xdr:col>4</xdr:col>
      <xdr:colOff>251817</xdr:colOff>
      <xdr:row>28</xdr:row>
      <xdr:rowOff>125015</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375048</xdr:colOff>
      <xdr:row>17</xdr:row>
      <xdr:rowOff>41670</xdr:rowOff>
    </xdr:from>
    <xdr:to>
      <xdr:col>10</xdr:col>
      <xdr:colOff>760810</xdr:colOff>
      <xdr:row>28</xdr:row>
      <xdr:rowOff>208359</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50601</xdr:colOff>
      <xdr:row>18</xdr:row>
      <xdr:rowOff>53578</xdr:rowOff>
    </xdr:from>
    <xdr:to>
      <xdr:col>10</xdr:col>
      <xdr:colOff>767953</xdr:colOff>
      <xdr:row>26</xdr:row>
      <xdr:rowOff>249436</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20834</xdr:colOff>
      <xdr:row>2</xdr:row>
      <xdr:rowOff>5953</xdr:rowOff>
    </xdr:from>
    <xdr:to>
      <xdr:col>9</xdr:col>
      <xdr:colOff>773904</xdr:colOff>
      <xdr:row>11</xdr:row>
      <xdr:rowOff>83344</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26787</xdr:colOff>
      <xdr:row>14</xdr:row>
      <xdr:rowOff>101202</xdr:rowOff>
    </xdr:from>
    <xdr:to>
      <xdr:col>9</xdr:col>
      <xdr:colOff>779857</xdr:colOff>
      <xdr:row>25</xdr:row>
      <xdr:rowOff>190499</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166687</xdr:colOff>
      <xdr:row>15</xdr:row>
      <xdr:rowOff>101202</xdr:rowOff>
    </xdr:from>
    <xdr:to>
      <xdr:col>9</xdr:col>
      <xdr:colOff>779857</xdr:colOff>
      <xdr:row>26</xdr:row>
      <xdr:rowOff>148827</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26787</xdr:colOff>
      <xdr:row>17</xdr:row>
      <xdr:rowOff>101202</xdr:rowOff>
    </xdr:from>
    <xdr:to>
      <xdr:col>9</xdr:col>
      <xdr:colOff>779857</xdr:colOff>
      <xdr:row>26</xdr:row>
      <xdr:rowOff>220265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gaglani/AppData/Roaming/Intrinio/Excel%20Add-In/Intrinio_Excel_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ntrinioDataPoint"/>
      <definedName name="IntrinioFinancials"/>
      <definedName name="IntrinioFundamentals"/>
      <definedName name="IntrinioHistoricalData"/>
      <definedName name="IntrinioHistoricalPrices"/>
    </definedNames>
    <sheetDataSet>
      <sheetData sheetId="0"/>
    </sheetDataSet>
  </externalBook>
</externalLink>
</file>

<file path=xl/theme/theme1.xml><?xml version="1.0" encoding="utf-8"?>
<a:theme xmlns:a="http://schemas.openxmlformats.org/drawingml/2006/main" name="Facet">
  <a:themeElements>
    <a:clrScheme name="Facet">
      <a:dk1>
        <a:sysClr val="windowText" lastClr="000000"/>
      </a:dk1>
      <a:lt1>
        <a:sysClr val="window" lastClr="FFFFFF"/>
      </a:lt1>
      <a:dk2>
        <a:srgbClr val="2C3C43"/>
      </a:dk2>
      <a:lt2>
        <a:srgbClr val="EBEBEB"/>
      </a:lt2>
      <a:accent1>
        <a:srgbClr val="90C226"/>
      </a:accent1>
      <a:accent2>
        <a:srgbClr val="54A021"/>
      </a:accent2>
      <a:accent3>
        <a:srgbClr val="E6B91E"/>
      </a:accent3>
      <a:accent4>
        <a:srgbClr val="E76618"/>
      </a:accent4>
      <a:accent5>
        <a:srgbClr val="C42F1A"/>
      </a:accent5>
      <a:accent6>
        <a:srgbClr val="918655"/>
      </a:accent6>
      <a:hlink>
        <a:srgbClr val="99CA3C"/>
      </a:hlink>
      <a:folHlink>
        <a:srgbClr val="B9D181"/>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pageSetUpPr fitToPage="1"/>
  </sheetPr>
  <dimension ref="B4:F16"/>
  <sheetViews>
    <sheetView showGridLines="0" tabSelected="1" topLeftCell="B1" zoomScaleNormal="100" zoomScaleSheetLayoutView="80" workbookViewId="0">
      <selection activeCell="C14" sqref="C14"/>
    </sheetView>
  </sheetViews>
  <sheetFormatPr defaultRowHeight="14.4" x14ac:dyDescent="0.3"/>
  <cols>
    <col min="1" max="1" width="9.109375" customWidth="1"/>
    <col min="2" max="2" width="18.88671875" customWidth="1"/>
    <col min="3" max="3" width="11.5546875" customWidth="1"/>
    <col min="4" max="4" width="2.77734375" customWidth="1"/>
  </cols>
  <sheetData>
    <row r="4" spans="2:6" ht="15" thickBot="1" x14ac:dyDescent="0.35"/>
    <row r="5" spans="2:6" ht="16.5" customHeight="1" thickBot="1" x14ac:dyDescent="0.35">
      <c r="B5" s="93" t="s">
        <v>51</v>
      </c>
      <c r="C5" s="128" t="s">
        <v>234</v>
      </c>
    </row>
    <row r="6" spans="2:6" x14ac:dyDescent="0.3">
      <c r="B6" s="22"/>
    </row>
    <row r="7" spans="2:6" x14ac:dyDescent="0.3">
      <c r="B7" s="22"/>
    </row>
    <row r="8" spans="2:6" x14ac:dyDescent="0.3">
      <c r="B8" s="93" t="s">
        <v>56</v>
      </c>
      <c r="C8" s="383" t="str">
        <f>[1]!IntrinioDataPoint(ticker,"name")</f>
        <v>Apple Inc</v>
      </c>
      <c r="D8" s="383"/>
      <c r="E8" s="383"/>
      <c r="F8" s="383"/>
    </row>
    <row r="9" spans="2:6" x14ac:dyDescent="0.3">
      <c r="B9" s="22"/>
    </row>
    <row r="10" spans="2:6" x14ac:dyDescent="0.3">
      <c r="B10" s="93" t="s">
        <v>57</v>
      </c>
      <c r="C10" s="384">
        <f ca="1">NOW()</f>
        <v>43593.007776967592</v>
      </c>
      <c r="D10" s="384"/>
      <c r="E10" s="384"/>
      <c r="F10" s="384"/>
    </row>
    <row r="11" spans="2:6" ht="15" thickBot="1" x14ac:dyDescent="0.35"/>
    <row r="12" spans="2:6" x14ac:dyDescent="0.3">
      <c r="B12" s="93" t="s">
        <v>92</v>
      </c>
      <c r="C12" s="129"/>
    </row>
    <row r="13" spans="2:6" x14ac:dyDescent="0.3">
      <c r="C13" s="130"/>
    </row>
    <row r="14" spans="2:6" x14ac:dyDescent="0.3">
      <c r="C14" s="130"/>
    </row>
    <row r="15" spans="2:6" x14ac:dyDescent="0.3">
      <c r="C15" s="130"/>
    </row>
    <row r="16" spans="2:6" ht="15" thickBot="1" x14ac:dyDescent="0.35">
      <c r="C16" s="131"/>
    </row>
  </sheetData>
  <mergeCells count="2">
    <mergeCell ref="C8:F8"/>
    <mergeCell ref="C10:F10"/>
  </mergeCells>
  <printOptions horizontalCentered="1" verticalCentered="1"/>
  <pageMargins left="0.7" right="0.7" top="0.75" bottom="0.75" header="0.3" footer="0.3"/>
  <pageSetup orientation="landscape" r:id="rId1"/>
  <headerFooter>
    <oddHeader>&amp;LApple Inc (AAPL)          $116.52&amp;RReport Date: 12/26/2016</oddHeader>
    <oddFooter>&amp;L&amp;G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Update">
                <anchor moveWithCells="1" sizeWithCells="1">
                  <from>
                    <xdr:col>4</xdr:col>
                    <xdr:colOff>106680</xdr:colOff>
                    <xdr:row>3</xdr:row>
                    <xdr:rowOff>30480</xdr:rowOff>
                  </from>
                  <to>
                    <xdr:col>5</xdr:col>
                    <xdr:colOff>60960</xdr:colOff>
                    <xdr:row>5</xdr:row>
                    <xdr:rowOff>114300</xdr:rowOff>
                  </to>
                </anchor>
              </controlPr>
            </control>
          </mc:Choice>
        </mc:AlternateContent>
        <mc:AlternateContent xmlns:mc="http://schemas.openxmlformats.org/markup-compatibility/2006">
          <mc:Choice Requires="x14">
            <control shapeId="5122" r:id="rId6" name="Button 2">
              <controlPr defaultSize="0" print="0" autoFill="0" autoPict="0" macro="[0]!PrintReportWComps">
                <anchor moveWithCells="1">
                  <from>
                    <xdr:col>5</xdr:col>
                    <xdr:colOff>60960</xdr:colOff>
                    <xdr:row>3</xdr:row>
                    <xdr:rowOff>30480</xdr:rowOff>
                  </from>
                  <to>
                    <xdr:col>6</xdr:col>
                    <xdr:colOff>198120</xdr:colOff>
                    <xdr:row>5</xdr:row>
                    <xdr:rowOff>114300</xdr:rowOff>
                  </to>
                </anchor>
              </controlPr>
            </control>
          </mc:Choice>
        </mc:AlternateContent>
        <mc:AlternateContent xmlns:mc="http://schemas.openxmlformats.org/markup-compatibility/2006">
          <mc:Choice Requires="x14">
            <control shapeId="5124" r:id="rId7" name="Button 4">
              <controlPr defaultSize="0" print="0" autoFill="0" autoPict="0" macro="[0]!PrintReportWOComps">
                <anchor moveWithCells="1">
                  <from>
                    <xdr:col>6</xdr:col>
                    <xdr:colOff>213360</xdr:colOff>
                    <xdr:row>3</xdr:row>
                    <xdr:rowOff>30480</xdr:rowOff>
                  </from>
                  <to>
                    <xdr:col>7</xdr:col>
                    <xdr:colOff>350520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4"/>
    <pageSetUpPr fitToPage="1"/>
  </sheetPr>
  <dimension ref="A1:AA81"/>
  <sheetViews>
    <sheetView showGridLines="0" view="pageBreakPreview" zoomScale="80" zoomScaleNormal="100" zoomScaleSheetLayoutView="80" workbookViewId="0"/>
  </sheetViews>
  <sheetFormatPr defaultRowHeight="14.4" x14ac:dyDescent="0.3"/>
  <cols>
    <col min="1" max="1" width="2.44140625" style="18" customWidth="1"/>
    <col min="2" max="2" width="15.44140625" customWidth="1"/>
    <col min="3" max="3" width="1.77734375" customWidth="1"/>
    <col min="4" max="4" width="32.109375" customWidth="1"/>
    <col min="5" max="5" width="1.77734375" customWidth="1"/>
    <col min="6" max="6" width="14.109375" customWidth="1"/>
    <col min="7" max="7" width="1.77734375" customWidth="1"/>
    <col min="8" max="8" width="14.109375" customWidth="1"/>
    <col min="9" max="9" width="1.77734375" customWidth="1"/>
    <col min="10" max="10" width="14.109375" customWidth="1"/>
    <col min="11" max="11" width="1.77734375" customWidth="1"/>
    <col min="12" max="12" width="4" style="18" customWidth="1"/>
    <col min="13" max="13" width="10.44140625" customWidth="1"/>
    <col min="14" max="14" width="11.5546875" style="18" customWidth="1"/>
    <col min="16" max="23" width="9.109375" customWidth="1"/>
    <col min="24" max="24" width="12" customWidth="1"/>
    <col min="25" max="25" width="13.109375" bestFit="1" customWidth="1"/>
    <col min="26" max="26" width="13.109375" style="18" customWidth="1"/>
  </cols>
  <sheetData>
    <row r="1" spans="1:27" s="18" customFormat="1" ht="16.2" x14ac:dyDescent="0.35">
      <c r="A1" s="23" t="s">
        <v>80</v>
      </c>
      <c r="B1" s="23"/>
    </row>
    <row r="2" spans="1:27" s="18" customFormat="1" ht="8.4" customHeight="1" x14ac:dyDescent="0.3"/>
    <row r="3" spans="1:27" ht="16.2" x14ac:dyDescent="0.35">
      <c r="B3" s="94" t="s">
        <v>55</v>
      </c>
      <c r="C3" s="95"/>
      <c r="D3" s="94" t="s">
        <v>48</v>
      </c>
      <c r="E3" s="95"/>
      <c r="F3" s="94" t="s">
        <v>22</v>
      </c>
      <c r="G3" s="95"/>
      <c r="H3" s="94" t="s">
        <v>0</v>
      </c>
      <c r="I3" s="95"/>
      <c r="J3" s="94" t="s">
        <v>1</v>
      </c>
      <c r="K3" s="95"/>
      <c r="L3" s="94" t="s">
        <v>93</v>
      </c>
      <c r="M3" s="27"/>
    </row>
    <row r="4" spans="1:27" ht="16.2" x14ac:dyDescent="0.35">
      <c r="B4" s="27" t="str">
        <f>[1]!IntrinioDataPoint(ticker,"sector")</f>
        <v>Consumer Goods</v>
      </c>
      <c r="C4" s="95"/>
      <c r="D4" s="27" t="str">
        <f>[1]!IntrinioDataPoint(ticker,"industry_group")</f>
        <v>Electronic Equipment</v>
      </c>
      <c r="E4" s="95"/>
      <c r="F4" s="96">
        <f>[1]!IntrinioDataPoint(ticker,"marketcap")/1000000</f>
        <v>953573.04755999998</v>
      </c>
      <c r="G4" s="95"/>
      <c r="H4" s="96">
        <f>[1]!IntrinioDataPoint(ticker,"enterprisevalue")/1000000</f>
        <v>840768.04755999998</v>
      </c>
      <c r="I4" s="95"/>
      <c r="J4" s="96">
        <f>[1]!IntrinioDataPoint(ticker,"totalrevenue")/1000000</f>
        <v>253768</v>
      </c>
      <c r="K4" s="95"/>
      <c r="L4" s="97" t="str">
        <f>[1]!IntrinioDataPoint(ticker,"ceo")</f>
        <v>Tim Cook</v>
      </c>
      <c r="M4" s="27"/>
    </row>
    <row r="5" spans="1:27" ht="16.2" x14ac:dyDescent="0.35">
      <c r="B5" s="27"/>
      <c r="C5" s="27"/>
      <c r="D5" s="98"/>
      <c r="E5" s="27"/>
      <c r="F5" s="27"/>
      <c r="G5" s="27"/>
      <c r="H5" s="27"/>
      <c r="I5" s="27"/>
      <c r="J5" s="27"/>
      <c r="K5" s="27"/>
      <c r="L5" s="27"/>
      <c r="M5" s="27"/>
      <c r="P5" t="s">
        <v>58</v>
      </c>
      <c r="X5" t="s">
        <v>63</v>
      </c>
      <c r="Y5" s="4">
        <f>[1]!IntrinioDataPoint(ticker,X5)</f>
        <v>231.664652604362</v>
      </c>
      <c r="Z5" s="4"/>
    </row>
    <row r="6" spans="1:27" ht="14.25" customHeight="1" x14ac:dyDescent="0.3">
      <c r="B6" s="385" t="str">
        <f>[1]!IntrinioDataPoint(ticker,"long_description")</f>
        <v>Apple Inc. designs, manufactures, and markets mobile communication and media devices, personal computers, and portable digital music players to consumers, small and mid-sized businesses, and education, enterprise, and government customers worldwide. The company also sells related software, services, accessories, networking solutions, and third-party digital content and applications. It offers iPhone, a line of smartphones; iPad, a line of multi-purpose tablets; and Mac, a line of desktop and portable personal computers. The company also provides iLife, a consumer-oriented digital lifestyle software application suite; iWork, an integrated productivity suite that helps users create, present, and publish documents, presentations, and spreadsheets; and other application software, such as Final Cut Pro, Logic Pro X, and FileMaker Pro. In addition, it offers Apple TV that connects to consumers' TV and enables them to access digital content directly for streaming high definition video, playing music and games, and viewing photos; Apple Watch, a personal electronic device; and iPod, a line of portable digital music and media players. Further, the company sells Apple-branded and third-party Mac-compatible, and iOS-compatible accessories, such as headphones, displays, storage devices, Beats products, and other connectivity and computing products and supplies. Additionally, it offers iCloud, a cloud service; AppleCare that offers support options for its customers; and Apple Pay, a mobile payment service. The company sells and delivers digital content and applications through the iTunes Store, App Store, Mac App Store, TV App Store, iBooks Store, and Apple Music. It also sells its products through its retail and online stores, and direct sales force, as well as through third-party cellular network carriers, wholesalers, retailers, and value-added resellers. Apple Inc. was founded in 1977 and is headquartered in Cupertino, California.</v>
      </c>
      <c r="C6" s="385"/>
      <c r="D6" s="385"/>
      <c r="E6" s="385"/>
      <c r="F6" s="385"/>
      <c r="G6" s="385"/>
      <c r="H6" s="385"/>
      <c r="I6" s="385"/>
      <c r="J6" s="385"/>
      <c r="K6" s="385"/>
      <c r="L6" s="385"/>
      <c r="M6" s="385"/>
      <c r="N6" s="17"/>
      <c r="P6" s="18">
        <f>+Q6+1</f>
        <v>4</v>
      </c>
      <c r="Q6" s="18">
        <f>+R6+1</f>
        <v>3</v>
      </c>
      <c r="R6" s="18">
        <f>+S6+1</f>
        <v>2</v>
      </c>
      <c r="S6">
        <f>+T6+1</f>
        <v>1</v>
      </c>
      <c r="T6">
        <v>0</v>
      </c>
      <c r="X6" t="s">
        <v>64</v>
      </c>
      <c r="Y6" s="4">
        <f>[1]!IntrinioDataPoint(ticker,X6)</f>
        <v>141.393588393588</v>
      </c>
      <c r="Z6" s="4"/>
    </row>
    <row r="7" spans="1:27" x14ac:dyDescent="0.3">
      <c r="B7" s="385"/>
      <c r="C7" s="385"/>
      <c r="D7" s="385"/>
      <c r="E7" s="385"/>
      <c r="F7" s="385"/>
      <c r="G7" s="385"/>
      <c r="H7" s="385"/>
      <c r="I7" s="385"/>
      <c r="J7" s="385"/>
      <c r="K7" s="385"/>
      <c r="L7" s="385"/>
      <c r="M7" s="385"/>
      <c r="N7" s="17"/>
      <c r="P7" s="21">
        <f>Q7-1</f>
        <v>2014</v>
      </c>
      <c r="Q7" s="21">
        <f>R7-1</f>
        <v>2015</v>
      </c>
      <c r="R7" s="21">
        <f>S7-1</f>
        <v>2016</v>
      </c>
      <c r="S7" s="21">
        <f>T7-1</f>
        <v>2017</v>
      </c>
      <c r="T7" s="21">
        <f>[1]!IntrinioFundamentals(ticker,"income_statement","FY",T6,"fiscal_year")</f>
        <v>2018</v>
      </c>
      <c r="U7" s="26" t="str">
        <f>T7+1&amp;"E"</f>
        <v>2019E</v>
      </c>
      <c r="V7" s="26" t="str">
        <f>T7+2&amp;"E"</f>
        <v>2020E</v>
      </c>
      <c r="W7" s="26" t="str">
        <f>T7+3&amp;"E"</f>
        <v>2021E</v>
      </c>
    </row>
    <row r="8" spans="1:27" x14ac:dyDescent="0.3">
      <c r="B8" s="385"/>
      <c r="C8" s="385"/>
      <c r="D8" s="385"/>
      <c r="E8" s="385"/>
      <c r="F8" s="385"/>
      <c r="G8" s="385"/>
      <c r="H8" s="385"/>
      <c r="I8" s="385"/>
      <c r="J8" s="385"/>
      <c r="K8" s="385"/>
      <c r="L8" s="385"/>
      <c r="M8" s="385"/>
      <c r="N8" s="17"/>
      <c r="P8" s="4">
        <f>[1]!IntrinioFinancials(ticker,"income_statement",P7,"FY",$P$5)</f>
        <v>6.45</v>
      </c>
      <c r="Q8" s="4">
        <f>[1]!IntrinioFinancials(ticker,"income_statement",Q7,"FY",$P$5)</f>
        <v>9.2200000000000006</v>
      </c>
      <c r="R8" s="4">
        <f>[1]!IntrinioFinancials(ticker,"income_statement",R7,"FY",$P$5)</f>
        <v>8.31</v>
      </c>
      <c r="S8" s="4">
        <f>[1]!IntrinioFinancials(ticker,"income_statement",S7,"FY",$P$5)</f>
        <v>9.2100000000000009</v>
      </c>
      <c r="T8" s="4">
        <f>[1]!IntrinioFinancials(ticker,"income_statement",T7,"FY",$P$5)</f>
        <v>11.91</v>
      </c>
      <c r="U8" s="4">
        <f>[1]!IntrinioDataPoint(ticker,"current_yr_ave_eps_est")</f>
        <v>11.4771</v>
      </c>
      <c r="V8" s="4">
        <f>[1]!IntrinioDataPoint(ticker,"next_yr_ave_eps_est")</f>
        <v>12.722099999999999</v>
      </c>
      <c r="W8" s="4">
        <f>V8*(1+([1]!IntrinioDataPoint(ticker,"long_term_growth_rate")*0.2))</f>
        <v>12.976542</v>
      </c>
      <c r="X8" t="s">
        <v>2</v>
      </c>
      <c r="Y8" s="3" t="str">
        <f ca="1">TEXT(Y9-365*5,"YYYY-MM-DD")</f>
        <v>2014-05-09</v>
      </c>
      <c r="Z8" s="3"/>
    </row>
    <row r="9" spans="1:27" x14ac:dyDescent="0.3">
      <c r="B9" s="385"/>
      <c r="C9" s="385"/>
      <c r="D9" s="385"/>
      <c r="E9" s="385"/>
      <c r="F9" s="385"/>
      <c r="G9" s="385"/>
      <c r="H9" s="385"/>
      <c r="I9" s="385"/>
      <c r="J9" s="385"/>
      <c r="K9" s="385"/>
      <c r="L9" s="385"/>
      <c r="M9" s="385"/>
      <c r="N9" s="17"/>
      <c r="X9" t="s">
        <v>3</v>
      </c>
      <c r="Y9" s="3" t="str">
        <f ca="1">TEXT(report_date,"YYYY-MM-DD")</f>
        <v>2019-05-08</v>
      </c>
      <c r="Z9" s="3"/>
    </row>
    <row r="10" spans="1:27" x14ac:dyDescent="0.3">
      <c r="B10" s="385"/>
      <c r="C10" s="385"/>
      <c r="D10" s="385"/>
      <c r="E10" s="385"/>
      <c r="F10" s="385"/>
      <c r="G10" s="385"/>
      <c r="H10" s="385"/>
      <c r="I10" s="385"/>
      <c r="J10" s="385"/>
      <c r="K10" s="385"/>
      <c r="L10" s="385"/>
      <c r="M10" s="385"/>
      <c r="N10" s="17"/>
      <c r="U10" s="9"/>
      <c r="X10" t="s">
        <v>4</v>
      </c>
      <c r="Y10" t="s">
        <v>7</v>
      </c>
    </row>
    <row r="11" spans="1:27" x14ac:dyDescent="0.3">
      <c r="B11" s="385"/>
      <c r="C11" s="385"/>
      <c r="D11" s="385"/>
      <c r="E11" s="385"/>
      <c r="F11" s="385"/>
      <c r="G11" s="385"/>
      <c r="H11" s="385"/>
      <c r="I11" s="385"/>
      <c r="J11" s="385"/>
      <c r="K11" s="385"/>
      <c r="L11" s="385"/>
      <c r="M11" s="385"/>
      <c r="N11" s="17"/>
      <c r="X11" t="s">
        <v>6</v>
      </c>
      <c r="Y11" s="24" t="s">
        <v>8</v>
      </c>
      <c r="Z11" s="382" t="s">
        <v>233</v>
      </c>
      <c r="AA11" s="24" t="s">
        <v>5</v>
      </c>
    </row>
    <row r="12" spans="1:27" x14ac:dyDescent="0.3">
      <c r="B12" s="385"/>
      <c r="C12" s="385"/>
      <c r="D12" s="385"/>
      <c r="E12" s="385"/>
      <c r="F12" s="385"/>
      <c r="G12" s="385"/>
      <c r="H12" s="385"/>
      <c r="I12" s="385"/>
      <c r="J12" s="385"/>
      <c r="K12" s="385"/>
      <c r="L12" s="385"/>
      <c r="M12" s="385"/>
      <c r="N12" s="17"/>
      <c r="X12">
        <v>0</v>
      </c>
      <c r="Y12" s="2">
        <f ca="1">IFERROR([1]!IntrinioHistoricalPrices(ticker,"date",$X12,$Y$8,$Y$9,$Y$10),"")</f>
        <v>43592</v>
      </c>
      <c r="Z12" s="2">
        <f ca="1">DATE(YEAR(Y12),MONTH(Y12),DAY(Y12))</f>
        <v>43592</v>
      </c>
      <c r="AA12" s="4">
        <f ca="1">IFERROR([1]!IntrinioHistoricalPrices(ticker,"adj_close",$X12,$Y$8,$Y$9,$Y$10),"")</f>
        <v>202.86</v>
      </c>
    </row>
    <row r="13" spans="1:27" x14ac:dyDescent="0.3">
      <c r="B13" s="385"/>
      <c r="C13" s="385"/>
      <c r="D13" s="385"/>
      <c r="E13" s="385"/>
      <c r="F13" s="385"/>
      <c r="G13" s="385"/>
      <c r="H13" s="385"/>
      <c r="I13" s="385"/>
      <c r="J13" s="385"/>
      <c r="K13" s="385"/>
      <c r="L13" s="385"/>
      <c r="M13" s="385"/>
      <c r="N13" s="17"/>
      <c r="X13">
        <f>X12+1</f>
        <v>1</v>
      </c>
      <c r="Y13" s="2">
        <f ca="1">IFERROR([1]!IntrinioHistoricalPrices(ticker,"date",$X13,$Y$8,$Y$9,$Y$10),"")</f>
        <v>43585</v>
      </c>
      <c r="Z13" s="2">
        <f t="shared" ref="Z13:Z71" ca="1" si="0">DATE(YEAR(Y13),MONTH(Y13),DAY(Y13))</f>
        <v>43585</v>
      </c>
      <c r="AA13" s="4">
        <f ca="1">IFERROR([1]!IntrinioHistoricalPrices(ticker,"adj_close",$X13,$Y$8,$Y$9,$Y$10),"")</f>
        <v>200.67</v>
      </c>
    </row>
    <row r="14" spans="1:27" x14ac:dyDescent="0.3">
      <c r="B14" s="385"/>
      <c r="C14" s="385"/>
      <c r="D14" s="385"/>
      <c r="E14" s="385"/>
      <c r="F14" s="385"/>
      <c r="G14" s="385"/>
      <c r="H14" s="385"/>
      <c r="I14" s="385"/>
      <c r="J14" s="385"/>
      <c r="K14" s="385"/>
      <c r="L14" s="385"/>
      <c r="M14" s="385"/>
      <c r="N14" s="17"/>
      <c r="Q14" s="2"/>
      <c r="X14" s="18">
        <f t="shared" ref="X14:X71" si="1">X13+1</f>
        <v>2</v>
      </c>
      <c r="Y14" s="2">
        <f ca="1">IFERROR([1]!IntrinioHistoricalPrices(ticker,"date",$X14,$Y$8,$Y$9,$Y$10),"")</f>
        <v>43555</v>
      </c>
      <c r="Z14" s="2">
        <f t="shared" ca="1" si="0"/>
        <v>43555</v>
      </c>
      <c r="AA14" s="4">
        <f ca="1">IFERROR([1]!IntrinioHistoricalPrices(ticker,"adj_close",$X14,$Y$8,$Y$9,$Y$10),"")</f>
        <v>189.95</v>
      </c>
    </row>
    <row r="15" spans="1:27" x14ac:dyDescent="0.3">
      <c r="B15" s="385"/>
      <c r="C15" s="385"/>
      <c r="D15" s="385"/>
      <c r="E15" s="385"/>
      <c r="F15" s="385"/>
      <c r="G15" s="385"/>
      <c r="H15" s="385"/>
      <c r="I15" s="385"/>
      <c r="J15" s="385"/>
      <c r="K15" s="385"/>
      <c r="L15" s="385"/>
      <c r="M15" s="385"/>
      <c r="N15" s="17"/>
      <c r="Q15" s="2"/>
      <c r="X15" s="18">
        <f t="shared" si="1"/>
        <v>3</v>
      </c>
      <c r="Y15" s="2">
        <f ca="1">IFERROR([1]!IntrinioHistoricalPrices(ticker,"date",$X15,$Y$8,$Y$9,$Y$10),"")</f>
        <v>43524</v>
      </c>
      <c r="Z15" s="2">
        <f t="shared" ca="1" si="0"/>
        <v>43524</v>
      </c>
      <c r="AA15" s="4">
        <f ca="1">IFERROR([1]!IntrinioHistoricalPrices(ticker,"adj_close",$X15,$Y$8,$Y$9,$Y$10),"")</f>
        <v>173.15</v>
      </c>
    </row>
    <row r="16" spans="1:27" x14ac:dyDescent="0.3">
      <c r="B16" s="385"/>
      <c r="C16" s="385"/>
      <c r="D16" s="385"/>
      <c r="E16" s="385"/>
      <c r="F16" s="385"/>
      <c r="G16" s="385"/>
      <c r="H16" s="385"/>
      <c r="I16" s="385"/>
      <c r="J16" s="385"/>
      <c r="K16" s="385"/>
      <c r="L16" s="385"/>
      <c r="M16" s="385"/>
      <c r="N16" s="17"/>
      <c r="X16" s="18">
        <f t="shared" si="1"/>
        <v>4</v>
      </c>
      <c r="Y16" s="2">
        <f ca="1">IFERROR([1]!IntrinioHistoricalPrices(ticker,"date",$X16,$Y$8,$Y$9,$Y$10),"")</f>
        <v>43496</v>
      </c>
      <c r="Z16" s="2">
        <f t="shared" ca="1" si="0"/>
        <v>43496</v>
      </c>
      <c r="AA16" s="4">
        <f ca="1">IFERROR([1]!IntrinioHistoricalPrices(ticker,"adj_close",$X16,$Y$8,$Y$9,$Y$10),"")</f>
        <v>165.72919999999999</v>
      </c>
    </row>
    <row r="17" spans="2:27" x14ac:dyDescent="0.3">
      <c r="B17" s="385"/>
      <c r="C17" s="385"/>
      <c r="D17" s="385"/>
      <c r="E17" s="385"/>
      <c r="F17" s="385"/>
      <c r="G17" s="385"/>
      <c r="H17" s="385"/>
      <c r="I17" s="385"/>
      <c r="J17" s="385"/>
      <c r="K17" s="385"/>
      <c r="L17" s="385"/>
      <c r="M17" s="385"/>
      <c r="N17" s="17"/>
      <c r="X17" s="18">
        <f t="shared" si="1"/>
        <v>5</v>
      </c>
      <c r="Y17" s="2">
        <f ca="1">IFERROR([1]!IntrinioHistoricalPrices(ticker,"date",$X17,$Y$8,$Y$9,$Y$10),"")</f>
        <v>43465</v>
      </c>
      <c r="Z17" s="2">
        <f t="shared" ca="1" si="0"/>
        <v>43465</v>
      </c>
      <c r="AA17" s="4">
        <f ca="1">IFERROR([1]!IntrinioHistoricalPrices(ticker,"adj_close",$X17,$Y$8,$Y$9,$Y$10),"")</f>
        <v>157.06639999999999</v>
      </c>
    </row>
    <row r="18" spans="2:27" x14ac:dyDescent="0.3">
      <c r="B18" s="385"/>
      <c r="C18" s="385"/>
      <c r="D18" s="385"/>
      <c r="E18" s="385"/>
      <c r="F18" s="385"/>
      <c r="G18" s="385"/>
      <c r="H18" s="385"/>
      <c r="I18" s="385"/>
      <c r="J18" s="385"/>
      <c r="K18" s="385"/>
      <c r="L18" s="385"/>
      <c r="M18" s="385"/>
      <c r="N18" s="17"/>
      <c r="X18" s="18">
        <f t="shared" si="1"/>
        <v>6</v>
      </c>
      <c r="Y18" s="2">
        <f ca="1">IFERROR([1]!IntrinioHistoricalPrices(ticker,"date",$X18,$Y$8,$Y$9,$Y$10),"")</f>
        <v>43434</v>
      </c>
      <c r="Z18" s="2">
        <f t="shared" ca="1" si="0"/>
        <v>43434</v>
      </c>
      <c r="AA18" s="4">
        <f ca="1">IFERROR([1]!IntrinioHistoricalPrices(ticker,"adj_close",$X18,$Y$8,$Y$9,$Y$10),"")</f>
        <v>177.81739999999999</v>
      </c>
    </row>
    <row r="19" spans="2:27" x14ac:dyDescent="0.3">
      <c r="B19" s="385"/>
      <c r="C19" s="385"/>
      <c r="D19" s="385"/>
      <c r="E19" s="385"/>
      <c r="F19" s="385"/>
      <c r="G19" s="385"/>
      <c r="H19" s="385"/>
      <c r="I19" s="385"/>
      <c r="J19" s="385"/>
      <c r="K19" s="385"/>
      <c r="L19" s="385"/>
      <c r="M19" s="385"/>
      <c r="N19" s="17"/>
      <c r="P19" s="3"/>
      <c r="X19" s="18">
        <f t="shared" si="1"/>
        <v>7</v>
      </c>
      <c r="Y19" s="2">
        <f ca="1">IFERROR([1]!IntrinioHistoricalPrices(ticker,"date",$X19,$Y$8,$Y$9,$Y$10),"")</f>
        <v>43404</v>
      </c>
      <c r="Z19" s="2">
        <f t="shared" ca="1" si="0"/>
        <v>43404</v>
      </c>
      <c r="AA19" s="4">
        <f ca="1">IFERROR([1]!IntrinioHistoricalPrices(ticker,"adj_close",$X19,$Y$8,$Y$9,$Y$10),"")</f>
        <v>217.16759999999999</v>
      </c>
    </row>
    <row r="20" spans="2:27" x14ac:dyDescent="0.3">
      <c r="B20" s="17"/>
      <c r="C20" s="17"/>
      <c r="D20" s="17"/>
      <c r="E20" s="17"/>
      <c r="F20" s="17"/>
      <c r="G20" s="17"/>
      <c r="H20" s="17"/>
      <c r="I20" s="17"/>
      <c r="J20" s="17"/>
      <c r="K20" s="17"/>
      <c r="L20" s="17"/>
      <c r="M20" s="17"/>
      <c r="N20" s="16"/>
      <c r="P20" s="3"/>
      <c r="X20" s="18">
        <f t="shared" si="1"/>
        <v>8</v>
      </c>
      <c r="Y20" s="2">
        <f ca="1">IFERROR([1]!IntrinioHistoricalPrices(ticker,"date",$X20,$Y$8,$Y$9,$Y$10),"")</f>
        <v>43373</v>
      </c>
      <c r="Z20" s="2">
        <f t="shared" ca="1" si="0"/>
        <v>43373</v>
      </c>
      <c r="AA20" s="4">
        <f ca="1">IFERROR([1]!IntrinioHistoricalPrices(ticker,"adj_close",$X20,$Y$8,$Y$9,$Y$10),"")</f>
        <v>223.99440000000001</v>
      </c>
    </row>
    <row r="21" spans="2:27" ht="16.2" x14ac:dyDescent="0.35">
      <c r="B21" s="17"/>
      <c r="C21" s="17"/>
      <c r="D21" s="17"/>
      <c r="E21" s="17"/>
      <c r="F21" s="17"/>
      <c r="G21" s="17"/>
      <c r="H21" s="17"/>
      <c r="I21" s="17"/>
      <c r="J21" s="17"/>
      <c r="K21" s="17"/>
      <c r="M21" s="99">
        <f>[1]!IntrinioDataPoint(ticker,"close_price")</f>
        <v>205.22</v>
      </c>
      <c r="N21" s="16"/>
      <c r="X21" s="18">
        <f t="shared" si="1"/>
        <v>9</v>
      </c>
      <c r="Y21" s="2">
        <f ca="1">IFERROR([1]!IntrinioHistoricalPrices(ticker,"date",$X21,$Y$8,$Y$9,$Y$10),"")</f>
        <v>43343</v>
      </c>
      <c r="Z21" s="2">
        <f t="shared" ca="1" si="0"/>
        <v>43343</v>
      </c>
      <c r="AA21" s="4">
        <f ca="1">IFERROR([1]!IntrinioHistoricalPrices(ticker,"adj_close",$X21,$Y$8,$Y$9,$Y$10),"")</f>
        <v>225.8698</v>
      </c>
    </row>
    <row r="22" spans="2:27" x14ac:dyDescent="0.3">
      <c r="B22" s="17"/>
      <c r="C22" s="17"/>
      <c r="D22" s="17"/>
      <c r="E22" s="17"/>
      <c r="F22" s="17"/>
      <c r="G22" s="17"/>
      <c r="H22" s="17"/>
      <c r="I22" s="17"/>
      <c r="J22" s="17"/>
      <c r="K22" s="17"/>
      <c r="L22" s="16"/>
      <c r="M22" s="17"/>
      <c r="N22" s="17"/>
      <c r="X22" s="18">
        <f t="shared" si="1"/>
        <v>10</v>
      </c>
      <c r="Y22" s="2">
        <f ca="1">IFERROR([1]!IntrinioHistoricalPrices(ticker,"date",$X22,$Y$8,$Y$9,$Y$10),"")</f>
        <v>43312</v>
      </c>
      <c r="Z22" s="2">
        <f t="shared" ca="1" si="0"/>
        <v>43312</v>
      </c>
      <c r="AA22" s="4">
        <f ca="1">IFERROR([1]!IntrinioHistoricalPrices(ticker,"adj_close",$X22,$Y$8,$Y$9,$Y$10),"")</f>
        <v>188.15870000000001</v>
      </c>
    </row>
    <row r="23" spans="2:27" x14ac:dyDescent="0.3">
      <c r="L23" s="24"/>
      <c r="P23" s="3"/>
      <c r="X23" s="18">
        <f t="shared" si="1"/>
        <v>11</v>
      </c>
      <c r="Y23" s="2">
        <f ca="1">IFERROR([1]!IntrinioHistoricalPrices(ticker,"date",$X23,$Y$8,$Y$9,$Y$10),"")</f>
        <v>43281</v>
      </c>
      <c r="Z23" s="2">
        <f t="shared" ca="1" si="0"/>
        <v>43281</v>
      </c>
      <c r="AA23" s="4">
        <f ca="1">IFERROR([1]!IntrinioHistoricalPrices(ticker,"adj_close",$X23,$Y$8,$Y$9,$Y$10),"")</f>
        <v>183.0367</v>
      </c>
    </row>
    <row r="24" spans="2:27" x14ac:dyDescent="0.3">
      <c r="M24" s="22" t="s">
        <v>52</v>
      </c>
      <c r="N24" s="20">
        <f ca="1">AA12/[1]!IntrinioHistoricalPrices(ticker,"adj_close",1,$Y$8,$Y$9,"yearly")-1</f>
        <v>0.29155567326939447</v>
      </c>
      <c r="P24" s="3"/>
      <c r="X24" s="18">
        <f t="shared" si="1"/>
        <v>12</v>
      </c>
      <c r="Y24" s="2">
        <f ca="1">IFERROR([1]!IntrinioHistoricalPrices(ticker,"date",$X24,$Y$8,$Y$9,$Y$10),"")</f>
        <v>43251</v>
      </c>
      <c r="Z24" s="2">
        <f t="shared" ca="1" si="0"/>
        <v>43251</v>
      </c>
      <c r="AA24" s="4">
        <f ca="1">IFERROR([1]!IntrinioHistoricalPrices(ticker,"adj_close",$X24,$Y$8,$Y$9,$Y$10),"")</f>
        <v>184.77699999999999</v>
      </c>
    </row>
    <row r="25" spans="2:27" x14ac:dyDescent="0.3">
      <c r="M25" s="22" t="s">
        <v>53</v>
      </c>
      <c r="N25" s="20">
        <f ca="1">M21/AA15-1</f>
        <v>0.18521513138896895</v>
      </c>
      <c r="P25" s="3"/>
      <c r="X25" s="18">
        <f t="shared" si="1"/>
        <v>13</v>
      </c>
      <c r="Y25" s="2">
        <f ca="1">IFERROR([1]!IntrinioHistoricalPrices(ticker,"date",$X25,$Y$8,$Y$9,$Y$10),"")</f>
        <v>43220</v>
      </c>
      <c r="Z25" s="2">
        <f t="shared" ca="1" si="0"/>
        <v>43220</v>
      </c>
      <c r="AA25" s="4">
        <f ca="1">IFERROR([1]!IntrinioHistoricalPrices(ticker,"adj_close",$X25,$Y$8,$Y$9,$Y$10),"")</f>
        <v>162.78129999999999</v>
      </c>
    </row>
    <row r="26" spans="2:27" x14ac:dyDescent="0.3">
      <c r="M26" s="22" t="s">
        <v>54</v>
      </c>
      <c r="N26" s="20">
        <f ca="1">AA12/AA24-1</f>
        <v>9.7863911634023859E-2</v>
      </c>
      <c r="P26" s="3"/>
      <c r="X26" s="18">
        <f t="shared" si="1"/>
        <v>14</v>
      </c>
      <c r="Y26" s="2">
        <f ca="1">IFERROR([1]!IntrinioHistoricalPrices(ticker,"date",$X26,$Y$8,$Y$9,$Y$10),"")</f>
        <v>43190</v>
      </c>
      <c r="Z26" s="2">
        <f t="shared" ca="1" si="0"/>
        <v>43190</v>
      </c>
      <c r="AA26" s="4">
        <f ca="1">IFERROR([1]!IntrinioHistoricalPrices(ticker,"adj_close",$X26,$Y$8,$Y$9,$Y$10),"")</f>
        <v>165.26349999999999</v>
      </c>
    </row>
    <row r="27" spans="2:27" x14ac:dyDescent="0.3">
      <c r="M27" s="22" t="s">
        <v>12</v>
      </c>
      <c r="N27" s="20">
        <f ca="1">AA12/Y5-1</f>
        <v>-0.12433771091334644</v>
      </c>
      <c r="P27" s="3"/>
      <c r="X27" s="18">
        <f t="shared" si="1"/>
        <v>15</v>
      </c>
      <c r="Y27" s="2">
        <f ca="1">IFERROR([1]!IntrinioHistoricalPrices(ticker,"date",$X27,$Y$8,$Y$9,$Y$10),"")</f>
        <v>43159</v>
      </c>
      <c r="Z27" s="2">
        <f t="shared" ca="1" si="0"/>
        <v>43159</v>
      </c>
      <c r="AA27" s="4">
        <f ca="1">IFERROR([1]!IntrinioHistoricalPrices(ticker,"adj_close",$X27,$Y$8,$Y$9,$Y$10),"")</f>
        <v>175.44839999999999</v>
      </c>
    </row>
    <row r="28" spans="2:27" x14ac:dyDescent="0.3">
      <c r="M28" s="22" t="s">
        <v>13</v>
      </c>
      <c r="N28" s="20">
        <f ca="1">AA13/Y6-1</f>
        <v>0.41922984118210604</v>
      </c>
      <c r="P28" s="3"/>
      <c r="X28" s="18">
        <f t="shared" si="1"/>
        <v>16</v>
      </c>
      <c r="Y28" s="2">
        <f ca="1">IFERROR([1]!IntrinioHistoricalPrices(ticker,"date",$X28,$Y$8,$Y$9,$Y$10),"")</f>
        <v>43131</v>
      </c>
      <c r="Z28" s="2">
        <f t="shared" ca="1" si="0"/>
        <v>43131</v>
      </c>
      <c r="AA28" s="4">
        <f ca="1">IFERROR([1]!IntrinioHistoricalPrices(ticker,"adj_close",$X28,$Y$8,$Y$9,$Y$10),"")</f>
        <v>164.2491</v>
      </c>
    </row>
    <row r="29" spans="2:27" x14ac:dyDescent="0.3">
      <c r="M29" s="22" t="s">
        <v>10</v>
      </c>
      <c r="N29">
        <f>[1]!IntrinioDataPoint(ticker,"beta")</f>
        <v>1.0278</v>
      </c>
      <c r="P29" s="3"/>
      <c r="X29" s="18">
        <f t="shared" si="1"/>
        <v>17</v>
      </c>
      <c r="Y29" s="2">
        <f ca="1">IFERROR([1]!IntrinioHistoricalPrices(ticker,"date",$X29,$Y$8,$Y$9,$Y$10),"")</f>
        <v>43100</v>
      </c>
      <c r="Z29" s="2">
        <f t="shared" ca="1" si="0"/>
        <v>43100</v>
      </c>
      <c r="AA29" s="4">
        <f ca="1">IFERROR([1]!IntrinioHistoricalPrices(ticker,"adj_close",$X29,$Y$8,$Y$9,$Y$10),"")</f>
        <v>166.01490000000001</v>
      </c>
    </row>
    <row r="30" spans="2:27" x14ac:dyDescent="0.3">
      <c r="M30" s="22" t="s">
        <v>11</v>
      </c>
      <c r="N30" s="19">
        <f>[1]!IntrinioDataPoint(ticker,"pricetoearnings")</f>
        <v>16.679600000000001</v>
      </c>
      <c r="P30" s="3"/>
      <c r="X30" s="18">
        <f t="shared" si="1"/>
        <v>18</v>
      </c>
      <c r="Y30" s="2">
        <f ca="1">IFERROR([1]!IntrinioHistoricalPrices(ticker,"date",$X30,$Y$8,$Y$9,$Y$10),"")</f>
        <v>43069</v>
      </c>
      <c r="Z30" s="2">
        <f t="shared" ca="1" si="0"/>
        <v>43069</v>
      </c>
      <c r="AA30" s="4">
        <f ca="1">IFERROR([1]!IntrinioHistoricalPrices(ticker,"adj_close",$X30,$Y$8,$Y$9,$Y$10),"")</f>
        <v>168.58510000000001</v>
      </c>
    </row>
    <row r="31" spans="2:27" x14ac:dyDescent="0.3">
      <c r="N31" s="19"/>
      <c r="P31" s="3"/>
      <c r="X31" s="18">
        <f t="shared" si="1"/>
        <v>19</v>
      </c>
      <c r="Y31" s="2">
        <f ca="1">IFERROR([1]!IntrinioHistoricalPrices(ticker,"date",$X31,$Y$8,$Y$9,$Y$10),"")</f>
        <v>43039</v>
      </c>
      <c r="Z31" s="2">
        <f t="shared" ca="1" si="0"/>
        <v>43039</v>
      </c>
      <c r="AA31" s="4">
        <f ca="1">IFERROR([1]!IntrinioHistoricalPrices(ticker,"adj_close",$X31,$Y$8,$Y$9,$Y$10),"")</f>
        <v>165.2345</v>
      </c>
    </row>
    <row r="32" spans="2:27" x14ac:dyDescent="0.3">
      <c r="P32" s="3"/>
      <c r="X32" s="18">
        <f t="shared" si="1"/>
        <v>20</v>
      </c>
      <c r="Y32" s="2">
        <f ca="1">IFERROR([1]!IntrinioHistoricalPrices(ticker,"date",$X32,$Y$8,$Y$9,$Y$10),"")</f>
        <v>43008</v>
      </c>
      <c r="Z32" s="2">
        <f t="shared" ca="1" si="0"/>
        <v>43008</v>
      </c>
      <c r="AA32" s="4">
        <f ca="1">IFERROR([1]!IntrinioHistoricalPrices(ticker,"adj_close",$X32,$Y$8,$Y$9,$Y$10),"")</f>
        <v>150.65039999999999</v>
      </c>
    </row>
    <row r="33" spans="2:27" x14ac:dyDescent="0.3">
      <c r="P33" s="3"/>
      <c r="X33" s="18">
        <f t="shared" si="1"/>
        <v>21</v>
      </c>
      <c r="Y33" s="2">
        <f ca="1">IFERROR([1]!IntrinioHistoricalPrices(ticker,"date",$X33,$Y$8,$Y$9,$Y$10),"")</f>
        <v>42978</v>
      </c>
      <c r="Z33" s="2">
        <f t="shared" ca="1" si="0"/>
        <v>42978</v>
      </c>
      <c r="AA33" s="4">
        <f ca="1">IFERROR([1]!IntrinioHistoricalPrices(ticker,"adj_close",$X33,$Y$8,$Y$9,$Y$10),"")</f>
        <v>160.30799999999999</v>
      </c>
    </row>
    <row r="34" spans="2:27" x14ac:dyDescent="0.3">
      <c r="B34" s="18"/>
      <c r="C34" s="18"/>
      <c r="D34" s="18"/>
      <c r="E34" s="18"/>
      <c r="F34" s="18"/>
      <c r="G34" s="18"/>
      <c r="H34" s="18"/>
      <c r="I34" s="18"/>
      <c r="J34" s="18"/>
      <c r="K34" s="18"/>
      <c r="M34" s="18"/>
      <c r="P34" s="3"/>
      <c r="X34" s="18">
        <f t="shared" si="1"/>
        <v>22</v>
      </c>
      <c r="Y34" s="2">
        <f ca="1">IFERROR([1]!IntrinioHistoricalPrices(ticker,"date",$X34,$Y$8,$Y$9,$Y$10),"")</f>
        <v>42947</v>
      </c>
      <c r="Z34" s="2">
        <f t="shared" ca="1" si="0"/>
        <v>42947</v>
      </c>
      <c r="AA34" s="4">
        <f ca="1">IFERROR([1]!IntrinioHistoricalPrices(ticker,"adj_close",$X34,$Y$8,$Y$9,$Y$10),"")</f>
        <v>144.81309999999999</v>
      </c>
    </row>
    <row r="35" spans="2:27" x14ac:dyDescent="0.3">
      <c r="B35" s="18"/>
      <c r="C35" s="18"/>
      <c r="D35" s="18"/>
      <c r="E35" s="18"/>
      <c r="F35" s="18"/>
      <c r="G35" s="18"/>
      <c r="H35" s="18"/>
      <c r="I35" s="18"/>
      <c r="J35" s="18"/>
      <c r="K35" s="18"/>
      <c r="M35" s="18"/>
      <c r="P35" s="3"/>
      <c r="X35" s="18">
        <f t="shared" si="1"/>
        <v>23</v>
      </c>
      <c r="Y35" s="2">
        <f ca="1">IFERROR([1]!IntrinioHistoricalPrices(ticker,"date",$X35,$Y$8,$Y$9,$Y$10),"")</f>
        <v>42916</v>
      </c>
      <c r="Z35" s="2">
        <f t="shared" ca="1" si="0"/>
        <v>42916</v>
      </c>
      <c r="AA35" s="4">
        <f ca="1">IFERROR([1]!IntrinioHistoricalPrices(ticker,"adj_close",$X35,$Y$8,$Y$9,$Y$10),"")</f>
        <v>140.22710000000001</v>
      </c>
    </row>
    <row r="36" spans="2:27" ht="16.2" x14ac:dyDescent="0.35">
      <c r="B36" s="94" t="s">
        <v>190</v>
      </c>
      <c r="C36" s="324"/>
      <c r="D36" s="94"/>
      <c r="E36" s="95"/>
      <c r="F36" s="94" t="s">
        <v>214</v>
      </c>
      <c r="G36" s="324"/>
      <c r="H36" s="94"/>
      <c r="I36" s="324"/>
      <c r="J36" s="94"/>
      <c r="K36" s="324"/>
      <c r="L36" s="94"/>
      <c r="M36" s="117"/>
      <c r="N36" s="17"/>
      <c r="P36" s="3"/>
      <c r="X36" s="18">
        <f t="shared" si="1"/>
        <v>24</v>
      </c>
      <c r="Y36" s="2">
        <f ca="1">IFERROR([1]!IntrinioHistoricalPrices(ticker,"date",$X36,$Y$8,$Y$9,$Y$10),"")</f>
        <v>42886</v>
      </c>
      <c r="Z36" s="2">
        <f t="shared" ca="1" si="0"/>
        <v>42886</v>
      </c>
      <c r="AA36" s="4">
        <f ca="1">IFERROR([1]!IntrinioHistoricalPrices(ticker,"adj_close",$X36,$Y$8,$Y$9,$Y$10),"")</f>
        <v>148.73689999999999</v>
      </c>
    </row>
    <row r="37" spans="2:27" ht="16.2" x14ac:dyDescent="0.35">
      <c r="B37" s="381" t="str">
        <f>HYPERLINK(P37,P37)</f>
        <v>www.apple.com</v>
      </c>
      <c r="C37" s="324"/>
      <c r="D37" s="27"/>
      <c r="E37" s="95"/>
      <c r="F37" s="380" t="str">
        <f>[1]!IntrinioDataPoint(ticker,"business_address")</f>
        <v>ONE APPLE PARK WAY, CUPERTINO, CA 95014</v>
      </c>
      <c r="G37" s="324"/>
      <c r="H37" s="325"/>
      <c r="I37" s="324"/>
      <c r="J37" s="325"/>
      <c r="K37" s="324"/>
      <c r="L37" s="97"/>
      <c r="M37" s="117"/>
      <c r="N37" s="17"/>
      <c r="P37" s="3" t="str">
        <f>[1]!IntrinioDataPoint(ticker,"company_url")</f>
        <v>www.apple.com</v>
      </c>
      <c r="X37" s="18">
        <f t="shared" si="1"/>
        <v>25</v>
      </c>
      <c r="Y37" s="2">
        <f ca="1">IFERROR([1]!IntrinioHistoricalPrices(ticker,"date",$X37,$Y$8,$Y$9,$Y$10),"")</f>
        <v>42855</v>
      </c>
      <c r="Z37" s="2">
        <f t="shared" ca="1" si="0"/>
        <v>42855</v>
      </c>
      <c r="AA37" s="4">
        <f ca="1">IFERROR([1]!IntrinioHistoricalPrices(ticker,"adj_close",$X37,$Y$8,$Y$9,$Y$10),"")</f>
        <v>139.2919</v>
      </c>
    </row>
    <row r="38" spans="2:27" x14ac:dyDescent="0.3">
      <c r="P38" s="3"/>
      <c r="Q38" s="25"/>
      <c r="X38" s="18">
        <f t="shared" si="1"/>
        <v>26</v>
      </c>
      <c r="Y38" s="2">
        <f ca="1">IFERROR([1]!IntrinioHistoricalPrices(ticker,"date",$X38,$Y$8,$Y$9,$Y$10),"")</f>
        <v>42825</v>
      </c>
      <c r="Z38" s="2">
        <f t="shared" ca="1" si="0"/>
        <v>42825</v>
      </c>
      <c r="AA38" s="4">
        <f ca="1">IFERROR([1]!IntrinioHistoricalPrices(ticker,"adj_close",$X38,$Y$8,$Y$9,$Y$10),"")</f>
        <v>139.30160000000001</v>
      </c>
    </row>
    <row r="39" spans="2:27" x14ac:dyDescent="0.3">
      <c r="P39" s="3"/>
      <c r="X39" s="18">
        <f t="shared" si="1"/>
        <v>27</v>
      </c>
      <c r="Y39" s="2">
        <f ca="1">IFERROR([1]!IntrinioHistoricalPrices(ticker,"date",$X39,$Y$8,$Y$9,$Y$10),"")</f>
        <v>42794</v>
      </c>
      <c r="Z39" s="2">
        <f t="shared" ca="1" si="0"/>
        <v>42794</v>
      </c>
      <c r="AA39" s="4">
        <f ca="1">IFERROR([1]!IntrinioHistoricalPrices(ticker,"adj_close",$X39,$Y$8,$Y$9,$Y$10),"")</f>
        <v>132.834</v>
      </c>
    </row>
    <row r="40" spans="2:27" x14ac:dyDescent="0.3">
      <c r="P40" s="3"/>
      <c r="X40" s="18">
        <f t="shared" si="1"/>
        <v>28</v>
      </c>
      <c r="Y40" s="2">
        <f ca="1">IFERROR([1]!IntrinioHistoricalPrices(ticker,"date",$X40,$Y$8,$Y$9,$Y$10),"")</f>
        <v>42766</v>
      </c>
      <c r="Z40" s="2">
        <f t="shared" ca="1" si="0"/>
        <v>42766</v>
      </c>
      <c r="AA40" s="4">
        <f ca="1">IFERROR([1]!IntrinioHistoricalPrices(ticker,"adj_close",$X40,$Y$8,$Y$9,$Y$10),"")</f>
        <v>117.1605</v>
      </c>
    </row>
    <row r="41" spans="2:27" x14ac:dyDescent="0.3">
      <c r="P41" s="3"/>
      <c r="X41" s="18">
        <f t="shared" si="1"/>
        <v>29</v>
      </c>
      <c r="Y41" s="2">
        <f ca="1">IFERROR([1]!IntrinioHistoricalPrices(ticker,"date",$X41,$Y$8,$Y$9,$Y$10),"")</f>
        <v>42735</v>
      </c>
      <c r="Z41" s="2">
        <f t="shared" ca="1" si="0"/>
        <v>42735</v>
      </c>
      <c r="AA41" s="4">
        <f ca="1">IFERROR([1]!IntrinioHistoricalPrices(ticker,"adj_close",$X41,$Y$8,$Y$9,$Y$10),"")</f>
        <v>111.8214</v>
      </c>
    </row>
    <row r="42" spans="2:27" x14ac:dyDescent="0.3">
      <c r="P42" s="3"/>
      <c r="X42" s="18">
        <f t="shared" si="1"/>
        <v>30</v>
      </c>
      <c r="Y42" s="2">
        <f ca="1">IFERROR([1]!IntrinioHistoricalPrices(ticker,"date",$X42,$Y$8,$Y$9,$Y$10),"")</f>
        <v>42704</v>
      </c>
      <c r="Z42" s="2">
        <f t="shared" ca="1" si="0"/>
        <v>42704</v>
      </c>
      <c r="AA42" s="4">
        <f ca="1">IFERROR([1]!IntrinioHistoricalPrices(ticker,"adj_close",$X42,$Y$8,$Y$9,$Y$10),"")</f>
        <v>106.70440000000001</v>
      </c>
    </row>
    <row r="43" spans="2:27" x14ac:dyDescent="0.3">
      <c r="P43" s="3"/>
      <c r="X43" s="18">
        <f t="shared" si="1"/>
        <v>31</v>
      </c>
      <c r="Y43" s="2">
        <f ca="1">IFERROR([1]!IntrinioHistoricalPrices(ticker,"date",$X43,$Y$8,$Y$9,$Y$10),"")</f>
        <v>42674</v>
      </c>
      <c r="Z43" s="2">
        <f t="shared" ca="1" si="0"/>
        <v>42674</v>
      </c>
      <c r="AA43" s="4">
        <f ca="1">IFERROR([1]!IntrinioHistoricalPrices(ticker,"adj_close",$X43,$Y$8,$Y$9,$Y$10),"")</f>
        <v>109.06019999999999</v>
      </c>
    </row>
    <row r="44" spans="2:27" x14ac:dyDescent="0.3">
      <c r="P44" s="3"/>
      <c r="X44" s="18">
        <f t="shared" si="1"/>
        <v>32</v>
      </c>
      <c r="Y44" s="2">
        <f ca="1">IFERROR([1]!IntrinioHistoricalPrices(ticker,"date",$X44,$Y$8,$Y$9,$Y$10),"")</f>
        <v>42643</v>
      </c>
      <c r="Z44" s="2">
        <f t="shared" ca="1" si="0"/>
        <v>42643</v>
      </c>
      <c r="AA44" s="4">
        <f ca="1">IFERROR([1]!IntrinioHistoricalPrices(ticker,"adj_close",$X44,$Y$8,$Y$9,$Y$10),"")</f>
        <v>108.5895</v>
      </c>
    </row>
    <row r="45" spans="2:27" x14ac:dyDescent="0.3">
      <c r="P45" s="3"/>
      <c r="X45" s="18">
        <f t="shared" si="1"/>
        <v>33</v>
      </c>
      <c r="Y45" s="2">
        <f ca="1">IFERROR([1]!IntrinioHistoricalPrices(ticker,"date",$X45,$Y$8,$Y$9,$Y$10),"")</f>
        <v>42613</v>
      </c>
      <c r="Z45" s="2">
        <f t="shared" ca="1" si="0"/>
        <v>42613</v>
      </c>
      <c r="AA45" s="4">
        <f ca="1">IFERROR([1]!IntrinioHistoricalPrices(ticker,"adj_close",$X45,$Y$8,$Y$9,$Y$10),"")</f>
        <v>101.91370000000001</v>
      </c>
    </row>
    <row r="46" spans="2:27" x14ac:dyDescent="0.3">
      <c r="P46" s="3"/>
      <c r="X46" s="18">
        <f t="shared" si="1"/>
        <v>34</v>
      </c>
      <c r="Y46" s="2">
        <f ca="1">IFERROR([1]!IntrinioHistoricalPrices(ticker,"date",$X46,$Y$8,$Y$9,$Y$10),"")</f>
        <v>42582</v>
      </c>
      <c r="Z46" s="2">
        <f t="shared" ca="1" si="0"/>
        <v>42582</v>
      </c>
      <c r="AA46" s="4">
        <f ca="1">IFERROR([1]!IntrinioHistoricalPrices(ticker,"adj_close",$X46,$Y$8,$Y$9,$Y$10),"")</f>
        <v>99.558999999999997</v>
      </c>
    </row>
    <row r="47" spans="2:27" x14ac:dyDescent="0.3">
      <c r="P47" s="3"/>
      <c r="X47" s="18">
        <f t="shared" si="1"/>
        <v>35</v>
      </c>
      <c r="Y47" s="2">
        <f ca="1">IFERROR([1]!IntrinioHistoricalPrices(ticker,"date",$X47,$Y$8,$Y$9,$Y$10),"")</f>
        <v>42551</v>
      </c>
      <c r="Z47" s="2">
        <f t="shared" ca="1" si="0"/>
        <v>42551</v>
      </c>
      <c r="AA47" s="4">
        <f ca="1">IFERROR([1]!IntrinioHistoricalPrices(ticker,"adj_close",$X47,$Y$8,$Y$9,$Y$10),"")</f>
        <v>91.333200000000005</v>
      </c>
    </row>
    <row r="48" spans="2:27" x14ac:dyDescent="0.3">
      <c r="P48" s="3"/>
      <c r="X48" s="18">
        <f t="shared" si="1"/>
        <v>36</v>
      </c>
      <c r="Y48" s="2">
        <f ca="1">IFERROR([1]!IntrinioHistoricalPrices(ticker,"date",$X48,$Y$8,$Y$9,$Y$10),"")</f>
        <v>42521</v>
      </c>
      <c r="Z48" s="2">
        <f t="shared" ca="1" si="0"/>
        <v>42521</v>
      </c>
      <c r="AA48" s="4">
        <f ca="1">IFERROR([1]!IntrinioHistoricalPrices(ticker,"adj_close",$X48,$Y$8,$Y$9,$Y$10),"")</f>
        <v>95.403099999999995</v>
      </c>
    </row>
    <row r="49" spans="16:27" x14ac:dyDescent="0.3">
      <c r="P49" s="3"/>
      <c r="X49" s="18">
        <f t="shared" si="1"/>
        <v>37</v>
      </c>
      <c r="Y49" s="2">
        <f ca="1">IFERROR([1]!IntrinioHistoricalPrices(ticker,"date",$X49,$Y$8,$Y$9,$Y$10),"")</f>
        <v>42490</v>
      </c>
      <c r="Z49" s="2">
        <f t="shared" ca="1" si="0"/>
        <v>42490</v>
      </c>
      <c r="AA49" s="4">
        <f ca="1">IFERROR([1]!IntrinioHistoricalPrices(ticker,"adj_close",$X49,$Y$8,$Y$9,$Y$10),"")</f>
        <v>89.014300000000006</v>
      </c>
    </row>
    <row r="50" spans="16:27" x14ac:dyDescent="0.3">
      <c r="P50" s="3"/>
      <c r="X50" s="18">
        <f t="shared" si="1"/>
        <v>38</v>
      </c>
      <c r="Y50" s="2">
        <f ca="1">IFERROR([1]!IntrinioHistoricalPrices(ticker,"date",$X50,$Y$8,$Y$9,$Y$10),"")</f>
        <v>42460</v>
      </c>
      <c r="Z50" s="2">
        <f t="shared" ca="1" si="0"/>
        <v>42460</v>
      </c>
      <c r="AA50" s="4">
        <f ca="1">IFERROR([1]!IntrinioHistoricalPrices(ticker,"adj_close",$X50,$Y$8,$Y$9,$Y$10),"")</f>
        <v>103.49550000000001</v>
      </c>
    </row>
    <row r="51" spans="16:27" x14ac:dyDescent="0.3">
      <c r="P51" s="3"/>
      <c r="X51" s="18">
        <f t="shared" si="1"/>
        <v>39</v>
      </c>
      <c r="Y51" s="2">
        <f ca="1">IFERROR([1]!IntrinioHistoricalPrices(ticker,"date",$X51,$Y$8,$Y$9,$Y$10),"")</f>
        <v>42429</v>
      </c>
      <c r="Z51" s="2">
        <f t="shared" ca="1" si="0"/>
        <v>42429</v>
      </c>
      <c r="AA51" s="4">
        <f ca="1">IFERROR([1]!IntrinioHistoricalPrices(ticker,"adj_close",$X51,$Y$8,$Y$9,$Y$10),"")</f>
        <v>91.815600000000003</v>
      </c>
    </row>
    <row r="52" spans="16:27" x14ac:dyDescent="0.3">
      <c r="P52" s="3"/>
      <c r="X52" s="18">
        <f t="shared" si="1"/>
        <v>40</v>
      </c>
      <c r="Y52" s="2">
        <f ca="1">IFERROR([1]!IntrinioHistoricalPrices(ticker,"date",$X52,$Y$8,$Y$9,$Y$10),"")</f>
        <v>42400</v>
      </c>
      <c r="Z52" s="2">
        <f t="shared" ca="1" si="0"/>
        <v>42400</v>
      </c>
      <c r="AA52" s="4">
        <f ca="1">IFERROR([1]!IntrinioHistoricalPrices(ticker,"adj_close",$X52,$Y$8,$Y$9,$Y$10),"")</f>
        <v>91.933999999999997</v>
      </c>
    </row>
    <row r="53" spans="16:27" x14ac:dyDescent="0.3">
      <c r="P53" s="3"/>
      <c r="X53" s="18">
        <f t="shared" si="1"/>
        <v>41</v>
      </c>
      <c r="Y53" s="2">
        <f ca="1">IFERROR([1]!IntrinioHistoricalPrices(ticker,"date",$X53,$Y$8,$Y$9,$Y$10),"")</f>
        <v>42369</v>
      </c>
      <c r="Z53" s="2">
        <f t="shared" ca="1" si="0"/>
        <v>42369</v>
      </c>
      <c r="AA53" s="4">
        <f ca="1">IFERROR([1]!IntrinioHistoricalPrices(ticker,"adj_close",$X53,$Y$8,$Y$9,$Y$10),"")</f>
        <v>99.414100000000005</v>
      </c>
    </row>
    <row r="54" spans="16:27" x14ac:dyDescent="0.3">
      <c r="P54" s="3"/>
      <c r="X54" s="18">
        <f t="shared" si="1"/>
        <v>42</v>
      </c>
      <c r="Y54" s="2">
        <f ca="1">IFERROR([1]!IntrinioHistoricalPrices(ticker,"date",$X54,$Y$8,$Y$9,$Y$10),"")</f>
        <v>42338</v>
      </c>
      <c r="Z54" s="2">
        <f t="shared" ca="1" si="0"/>
        <v>42338</v>
      </c>
      <c r="AA54" s="4">
        <f ca="1">IFERROR([1]!IntrinioHistoricalPrices(ticker,"adj_close",$X54,$Y$8,$Y$9,$Y$10),"")</f>
        <v>111.7299</v>
      </c>
    </row>
    <row r="55" spans="16:27" x14ac:dyDescent="0.3">
      <c r="P55" s="3"/>
      <c r="X55" s="18">
        <f t="shared" si="1"/>
        <v>43</v>
      </c>
      <c r="Y55" s="2">
        <f ca="1">IFERROR([1]!IntrinioHistoricalPrices(ticker,"date",$X55,$Y$8,$Y$9,$Y$10),"")</f>
        <v>42308</v>
      </c>
      <c r="Z55" s="2">
        <f t="shared" ca="1" si="0"/>
        <v>42308</v>
      </c>
      <c r="AA55" s="4">
        <f ca="1">IFERROR([1]!IntrinioHistoricalPrices(ticker,"adj_close",$X55,$Y$8,$Y$9,$Y$10),"")</f>
        <v>112.3822</v>
      </c>
    </row>
    <row r="56" spans="16:27" x14ac:dyDescent="0.3">
      <c r="P56" s="3"/>
      <c r="X56" s="18">
        <f t="shared" si="1"/>
        <v>44</v>
      </c>
      <c r="Y56" s="2">
        <f ca="1">IFERROR([1]!IntrinioHistoricalPrices(ticker,"date",$X56,$Y$8,$Y$9,$Y$10),"")</f>
        <v>42277</v>
      </c>
      <c r="Z56" s="2">
        <f t="shared" ca="1" si="0"/>
        <v>42277</v>
      </c>
      <c r="AA56" s="4">
        <f ca="1">IFERROR([1]!IntrinioHistoricalPrices(ticker,"adj_close",$X56,$Y$8,$Y$9,$Y$10),"")</f>
        <v>103.401</v>
      </c>
    </row>
    <row r="57" spans="16:27" x14ac:dyDescent="0.3">
      <c r="P57" s="3"/>
      <c r="X57" s="18">
        <f t="shared" si="1"/>
        <v>45</v>
      </c>
      <c r="Y57" s="2">
        <f ca="1">IFERROR([1]!IntrinioHistoricalPrices(ticker,"date",$X57,$Y$8,$Y$9,$Y$10),"")</f>
        <v>42247</v>
      </c>
      <c r="Z57" s="2">
        <f t="shared" ca="1" si="0"/>
        <v>42247</v>
      </c>
      <c r="AA57" s="4">
        <f ca="1">IFERROR([1]!IntrinioHistoricalPrices(ticker,"adj_close",$X57,$Y$8,$Y$9,$Y$10),"")</f>
        <v>106.0436</v>
      </c>
    </row>
    <row r="58" spans="16:27" x14ac:dyDescent="0.3">
      <c r="P58" s="3"/>
      <c r="X58" s="18">
        <f t="shared" si="1"/>
        <v>46</v>
      </c>
      <c r="Y58" s="2">
        <f ca="1">IFERROR([1]!IntrinioHistoricalPrices(ticker,"date",$X58,$Y$8,$Y$9,$Y$10),"")</f>
        <v>42216</v>
      </c>
      <c r="Z58" s="2">
        <f t="shared" ca="1" si="0"/>
        <v>42216</v>
      </c>
      <c r="AA58" s="4">
        <f ca="1">IFERROR([1]!IntrinioHistoricalPrices(ticker,"adj_close",$X58,$Y$8,$Y$9,$Y$10),"")</f>
        <v>113.5609</v>
      </c>
    </row>
    <row r="59" spans="16:27" x14ac:dyDescent="0.3">
      <c r="P59" s="3"/>
      <c r="X59" s="18">
        <f t="shared" si="1"/>
        <v>47</v>
      </c>
      <c r="Y59" s="2">
        <f ca="1">IFERROR([1]!IntrinioHistoricalPrices(ticker,"date",$X59,$Y$8,$Y$9,$Y$10),"")</f>
        <v>42185</v>
      </c>
      <c r="Z59" s="2">
        <f t="shared" ca="1" si="0"/>
        <v>42185</v>
      </c>
      <c r="AA59" s="4">
        <f ca="1">IFERROR([1]!IntrinioHistoricalPrices(ticker,"adj_close",$X59,$Y$8,$Y$9,$Y$10),"")</f>
        <v>117.4228</v>
      </c>
    </row>
    <row r="60" spans="16:27" x14ac:dyDescent="0.3">
      <c r="P60" s="3"/>
      <c r="X60" s="18">
        <f t="shared" si="1"/>
        <v>48</v>
      </c>
      <c r="Y60" s="2">
        <f ca="1">IFERROR([1]!IntrinioHistoricalPrices(ticker,"date",$X60,$Y$8,$Y$9,$Y$10),"")</f>
        <v>42155</v>
      </c>
      <c r="Z60" s="2">
        <f t="shared" ca="1" si="0"/>
        <v>42155</v>
      </c>
      <c r="AA60" s="4">
        <f ca="1">IFERROR([1]!IntrinioHistoricalPrices(ticker,"adj_close",$X60,$Y$8,$Y$9,$Y$10),"")</f>
        <v>121.968</v>
      </c>
    </row>
    <row r="61" spans="16:27" x14ac:dyDescent="0.3">
      <c r="P61" s="3"/>
      <c r="X61" s="18">
        <f t="shared" si="1"/>
        <v>49</v>
      </c>
      <c r="Y61" s="2">
        <f ca="1">IFERROR([1]!IntrinioHistoricalPrices(ticker,"date",$X61,$Y$8,$Y$9,$Y$10),"")</f>
        <v>42124</v>
      </c>
      <c r="Z61" s="2">
        <f t="shared" ca="1" si="0"/>
        <v>42124</v>
      </c>
      <c r="AA61" s="4">
        <f ca="1">IFERROR([1]!IntrinioHistoricalPrices(ticker,"adj_close",$X61,$Y$8,$Y$9,$Y$10),"")</f>
        <v>116.67789999999999</v>
      </c>
    </row>
    <row r="62" spans="16:27" x14ac:dyDescent="0.3">
      <c r="P62" s="3"/>
      <c r="X62" s="18">
        <f t="shared" si="1"/>
        <v>50</v>
      </c>
      <c r="Y62" s="2">
        <f ca="1">IFERROR([1]!IntrinioHistoricalPrices(ticker,"date",$X62,$Y$8,$Y$9,$Y$10),"")</f>
        <v>42094</v>
      </c>
      <c r="Z62" s="2">
        <f t="shared" ca="1" si="0"/>
        <v>42094</v>
      </c>
      <c r="AA62" s="4">
        <f ca="1">IFERROR([1]!IntrinioHistoricalPrices(ticker,"adj_close",$X62,$Y$8,$Y$9,$Y$10),"")</f>
        <v>116.0067</v>
      </c>
    </row>
    <row r="63" spans="16:27" x14ac:dyDescent="0.3">
      <c r="P63" s="3"/>
      <c r="X63" s="18">
        <f t="shared" si="1"/>
        <v>51</v>
      </c>
      <c r="Y63" s="2">
        <f ca="1">IFERROR([1]!IntrinioHistoricalPrices(ticker,"date",$X63,$Y$8,$Y$9,$Y$10),"")</f>
        <v>42063</v>
      </c>
      <c r="Z63" s="2">
        <f t="shared" ca="1" si="0"/>
        <v>42063</v>
      </c>
      <c r="AA63" s="4">
        <f ca="1">IFERROR([1]!IntrinioHistoricalPrices(ticker,"adj_close",$X63,$Y$8,$Y$9,$Y$10),"")</f>
        <v>119.76390000000001</v>
      </c>
    </row>
    <row r="64" spans="16:27" x14ac:dyDescent="0.3">
      <c r="P64" s="3"/>
      <c r="X64" s="18">
        <f t="shared" si="1"/>
        <v>52</v>
      </c>
      <c r="Y64" s="2">
        <f ca="1">IFERROR([1]!IntrinioHistoricalPrices(ticker,"date",$X64,$Y$8,$Y$9,$Y$10),"")</f>
        <v>42035</v>
      </c>
      <c r="Z64" s="2">
        <f t="shared" ca="1" si="0"/>
        <v>42035</v>
      </c>
      <c r="AA64" s="4">
        <f ca="1">IFERROR([1]!IntrinioHistoricalPrices(ticker,"adj_close",$X64,$Y$8,$Y$9,$Y$10),"")</f>
        <v>108.79940000000001</v>
      </c>
    </row>
    <row r="65" spans="16:27" x14ac:dyDescent="0.3">
      <c r="P65" s="3"/>
      <c r="X65" s="18">
        <f t="shared" si="1"/>
        <v>53</v>
      </c>
      <c r="Y65" s="2">
        <f ca="1">IFERROR([1]!IntrinioHistoricalPrices(ticker,"date",$X65,$Y$8,$Y$9,$Y$10),"")</f>
        <v>42004</v>
      </c>
      <c r="Z65" s="2">
        <f t="shared" ca="1" si="0"/>
        <v>42004</v>
      </c>
      <c r="AA65" s="4">
        <f ca="1">IFERROR([1]!IntrinioHistoricalPrices(ticker,"adj_close",$X65,$Y$8,$Y$9,$Y$10),"")</f>
        <v>102.5033</v>
      </c>
    </row>
    <row r="66" spans="16:27" x14ac:dyDescent="0.3">
      <c r="P66" s="3"/>
      <c r="X66" s="18">
        <f t="shared" si="1"/>
        <v>54</v>
      </c>
      <c r="Y66" s="2">
        <f ca="1">IFERROR([1]!IntrinioHistoricalPrices(ticker,"date",$X66,$Y$8,$Y$9,$Y$10),"")</f>
        <v>41973</v>
      </c>
      <c r="Z66" s="2">
        <f t="shared" ca="1" si="0"/>
        <v>41973</v>
      </c>
      <c r="AA66" s="4">
        <f ca="1">IFERROR([1]!IntrinioHistoricalPrices(ticker,"adj_close",$X66,$Y$8,$Y$9,$Y$10),"")</f>
        <v>110.4431</v>
      </c>
    </row>
    <row r="67" spans="16:27" x14ac:dyDescent="0.3">
      <c r="P67" s="3"/>
      <c r="X67" s="18">
        <f t="shared" si="1"/>
        <v>55</v>
      </c>
      <c r="Y67" s="2">
        <f ca="1">IFERROR([1]!IntrinioHistoricalPrices(ticker,"date",$X67,$Y$8,$Y$9,$Y$10),"")</f>
        <v>41943</v>
      </c>
      <c r="Z67" s="2">
        <f t="shared" ca="1" si="0"/>
        <v>41943</v>
      </c>
      <c r="AA67" s="4">
        <f ca="1">IFERROR([1]!IntrinioHistoricalPrices(ticker,"adj_close",$X67,$Y$8,$Y$9,$Y$10),"")</f>
        <v>99.860100000000003</v>
      </c>
    </row>
    <row r="68" spans="16:27" x14ac:dyDescent="0.3">
      <c r="P68" s="3"/>
      <c r="X68" s="18">
        <f t="shared" si="1"/>
        <v>56</v>
      </c>
      <c r="Y68" s="2">
        <f ca="1">IFERROR([1]!IntrinioHistoricalPrices(ticker,"date",$X68,$Y$8,$Y$9,$Y$10),"")</f>
        <v>41912</v>
      </c>
      <c r="Z68" s="2">
        <f t="shared" ca="1" si="0"/>
        <v>41912</v>
      </c>
      <c r="AA68" s="4">
        <f ca="1">IFERROR([1]!IntrinioHistoricalPrices(ticker,"adj_close",$X68,$Y$8,$Y$9,$Y$10),"")</f>
        <v>93.156499999999994</v>
      </c>
    </row>
    <row r="69" spans="16:27" x14ac:dyDescent="0.3">
      <c r="P69" s="3"/>
      <c r="X69" s="18">
        <f t="shared" si="1"/>
        <v>57</v>
      </c>
      <c r="Y69" s="2">
        <f ca="1">IFERROR([1]!IntrinioHistoricalPrices(ticker,"date",$X69,$Y$8,$Y$9,$Y$10),"")</f>
        <v>41882</v>
      </c>
      <c r="Z69" s="2">
        <f t="shared" ca="1" si="0"/>
        <v>41882</v>
      </c>
      <c r="AA69" s="4">
        <f ca="1">IFERROR([1]!IntrinioHistoricalPrices(ticker,"adj_close",$X69,$Y$8,$Y$9,$Y$10),"")</f>
        <v>94.774600000000007</v>
      </c>
    </row>
    <row r="70" spans="16:27" x14ac:dyDescent="0.3">
      <c r="P70" s="3"/>
      <c r="X70" s="18">
        <f t="shared" si="1"/>
        <v>58</v>
      </c>
      <c r="Y70" s="2">
        <f ca="1">IFERROR([1]!IntrinioHistoricalPrices(ticker,"date",$X70,$Y$8,$Y$9,$Y$10),"")</f>
        <v>41851</v>
      </c>
      <c r="Z70" s="2">
        <f t="shared" ca="1" si="0"/>
        <v>41851</v>
      </c>
      <c r="AA70" s="4">
        <f ca="1">IFERROR([1]!IntrinioHistoricalPrices(ticker,"adj_close",$X70,$Y$8,$Y$9,$Y$10),"")</f>
        <v>87.9572</v>
      </c>
    </row>
    <row r="71" spans="16:27" x14ac:dyDescent="0.3">
      <c r="P71" s="3"/>
      <c r="X71" s="18">
        <f t="shared" si="1"/>
        <v>59</v>
      </c>
      <c r="Y71" s="2">
        <f ca="1">[1]!IntrinioHistoricalPrices(ticker,"date",$X71,$Y$8,$Y$9,$Y$10)</f>
        <v>41820</v>
      </c>
      <c r="Z71" s="2">
        <f t="shared" ca="1" si="0"/>
        <v>41820</v>
      </c>
      <c r="AA71" s="4">
        <f ca="1">[1]!IntrinioHistoricalPrices(ticker,"adj_close",$X71,$Y$8,$Y$9,$Y$10)</f>
        <v>85.500600000000006</v>
      </c>
    </row>
    <row r="72" spans="16:27" x14ac:dyDescent="0.3">
      <c r="P72" s="3"/>
    </row>
    <row r="73" spans="16:27" x14ac:dyDescent="0.3">
      <c r="P73" s="3"/>
    </row>
    <row r="74" spans="16:27" x14ac:dyDescent="0.3">
      <c r="P74" s="3"/>
    </row>
    <row r="75" spans="16:27" x14ac:dyDescent="0.3">
      <c r="P75" s="3"/>
    </row>
    <row r="76" spans="16:27" x14ac:dyDescent="0.3">
      <c r="P76" s="3"/>
    </row>
    <row r="77" spans="16:27" x14ac:dyDescent="0.3">
      <c r="P77" s="3"/>
    </row>
    <row r="78" spans="16:27" x14ac:dyDescent="0.3">
      <c r="P78" s="3"/>
    </row>
    <row r="79" spans="16:27" x14ac:dyDescent="0.3">
      <c r="P79" s="3"/>
    </row>
    <row r="80" spans="16:27" x14ac:dyDescent="0.3">
      <c r="P80" s="3"/>
    </row>
    <row r="81" spans="22:24" x14ac:dyDescent="0.3">
      <c r="V81" s="3"/>
      <c r="W81" s="3"/>
      <c r="X81" s="4"/>
    </row>
  </sheetData>
  <sortState ref="X12:AA71">
    <sortCondition descending="1" ref="X12"/>
  </sortState>
  <mergeCells count="1">
    <mergeCell ref="B6:M19"/>
  </mergeCells>
  <conditionalFormatting sqref="N24:N26">
    <cfRule type="cellIs" dxfId="25" priority="5" operator="greaterThan">
      <formula>0</formula>
    </cfRule>
    <cfRule type="cellIs" dxfId="24" priority="6" operator="lessThan">
      <formula>0</formula>
    </cfRule>
  </conditionalFormatting>
  <pageMargins left="0.7" right="0.7" top="0.75" bottom="0.75" header="0.3" footer="0.3"/>
  <pageSetup scale="90" orientation="landscape" r:id="rId1"/>
  <headerFooter>
    <oddHeader>&amp;LApple Inc (AAPL)          $116.52&amp;RReport Date: 12/26/2016</oddHeader>
    <oddFooter>&amp;L&amp;G&amp;R&amp;P</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6"/>
    <pageSetUpPr fitToPage="1"/>
  </sheetPr>
  <dimension ref="A1:AM108"/>
  <sheetViews>
    <sheetView showGridLines="0" view="pageBreakPreview" zoomScale="80" zoomScaleNormal="100" zoomScaleSheetLayoutView="80" workbookViewId="0">
      <selection activeCell="C4" sqref="C4"/>
    </sheetView>
  </sheetViews>
  <sheetFormatPr defaultRowHeight="14.4" x14ac:dyDescent="0.3"/>
  <cols>
    <col min="1" max="1" width="2.44140625" style="18" customWidth="1"/>
    <col min="2" max="2" width="23.5546875" customWidth="1"/>
    <col min="3" max="3" width="24.44140625" customWidth="1"/>
    <col min="4" max="4" width="3.88671875" customWidth="1"/>
    <col min="5" max="5" width="16.5546875" bestFit="1" customWidth="1"/>
    <col min="6" max="6" width="18.44140625" customWidth="1"/>
    <col min="7" max="7" width="12.44140625" style="18" customWidth="1"/>
    <col min="8" max="10" width="12.44140625" customWidth="1"/>
    <col min="11" max="11" width="0.88671875" style="18" customWidth="1"/>
    <col min="12" max="12" width="15.44140625" customWidth="1"/>
    <col min="13" max="13" width="14.44140625" customWidth="1"/>
    <col min="14" max="14" width="12.109375" customWidth="1"/>
    <col min="15" max="25" width="18.109375" customWidth="1"/>
    <col min="26" max="31" width="18.109375" style="18" customWidth="1"/>
  </cols>
  <sheetData>
    <row r="1" spans="1:39" s="18" customFormat="1" ht="16.2" x14ac:dyDescent="0.35">
      <c r="A1" s="23" t="s">
        <v>79</v>
      </c>
      <c r="B1" s="23"/>
      <c r="C1" s="23"/>
    </row>
    <row r="2" spans="1:39" s="18" customFormat="1" x14ac:dyDescent="0.3"/>
    <row r="3" spans="1:39" ht="21.75" customHeight="1" x14ac:dyDescent="0.35">
      <c r="B3" s="101" t="s">
        <v>14</v>
      </c>
      <c r="C3" s="102"/>
      <c r="D3" s="27"/>
      <c r="E3" s="386" t="s">
        <v>24</v>
      </c>
      <c r="F3" s="387"/>
      <c r="G3" s="387"/>
      <c r="H3" s="387"/>
      <c r="I3" s="387"/>
      <c r="J3" s="388"/>
    </row>
    <row r="4" spans="1:39" ht="21.9" customHeight="1" x14ac:dyDescent="0.35">
      <c r="B4" s="90" t="s">
        <v>15</v>
      </c>
      <c r="C4" s="91">
        <f>last_price</f>
        <v>205.22</v>
      </c>
      <c r="D4" s="27"/>
      <c r="E4" s="72"/>
      <c r="F4" s="73" t="s">
        <v>65</v>
      </c>
      <c r="G4" s="73" t="s">
        <v>61</v>
      </c>
      <c r="H4" s="73" t="s">
        <v>50</v>
      </c>
      <c r="I4" s="73" t="s">
        <v>59</v>
      </c>
      <c r="J4" s="74" t="s">
        <v>60</v>
      </c>
      <c r="L4" s="1"/>
    </row>
    <row r="5" spans="1:39" ht="21.9" customHeight="1" x14ac:dyDescent="0.35">
      <c r="B5" s="42" t="s">
        <v>16</v>
      </c>
      <c r="C5" s="43" t="str">
        <f>CONCATENATE("$", Profile!Y6," - ","$",Profile!Y5)</f>
        <v>$141.393588393588 - $231.664652604362</v>
      </c>
      <c r="D5" s="27"/>
      <c r="E5" s="68" t="s">
        <v>68</v>
      </c>
      <c r="F5" s="69"/>
      <c r="G5" s="70">
        <f ca="1">AVERAGE(O11:O15)</f>
        <v>14.046099999999999</v>
      </c>
      <c r="H5" s="70">
        <f>[1]!IntrinioDataPoint(ticker,"pricetoearnings")</f>
        <v>16.679600000000001</v>
      </c>
      <c r="I5" s="70">
        <f>[1]!IntrinioDataPoint(ticker,"pricetocurrentyearearnings")</f>
        <v>18.574561403508799</v>
      </c>
      <c r="J5" s="71">
        <f>[1]!IntrinioDataPoint(ticker,"pricetonextyearearnings")</f>
        <v>16.4083688492832</v>
      </c>
    </row>
    <row r="6" spans="1:39" ht="21.9" customHeight="1" x14ac:dyDescent="0.35">
      <c r="B6" s="41" t="s">
        <v>62</v>
      </c>
      <c r="C6" s="47" t="str">
        <f>[1]!IntrinioDataPoint(ticker,"average_daily_volume")</f>
        <v>na</v>
      </c>
      <c r="D6" s="28"/>
      <c r="E6" s="52" t="s">
        <v>69</v>
      </c>
      <c r="F6" s="31"/>
      <c r="G6" s="35">
        <f ca="1">AVERAGE(P11:P15)</f>
        <v>3.0811800000000003</v>
      </c>
      <c r="H6" s="35">
        <f>[1]!IntrinioDataPoint(ticker,"pricetorevenue")</f>
        <v>3.7576999999999998</v>
      </c>
      <c r="I6" s="35">
        <f>[1]!IntrinioDataPoint(ticker,"pricetocurrentyearrevenue")</f>
        <v>3.87541578609251</v>
      </c>
      <c r="J6" s="53">
        <f>[1]!IntrinioDataPoint(ticker,"pricetonextyearrevenue")</f>
        <v>3.7153646359407602</v>
      </c>
      <c r="K6" s="17"/>
      <c r="L6" s="7"/>
      <c r="M6" s="7"/>
      <c r="N6" t="s">
        <v>36</v>
      </c>
      <c r="O6" t="s">
        <v>35</v>
      </c>
      <c r="P6" s="12" t="s">
        <v>43</v>
      </c>
      <c r="Q6" s="12" t="s">
        <v>44</v>
      </c>
      <c r="R6" s="12" t="s">
        <v>47</v>
      </c>
      <c r="S6" s="12" t="s">
        <v>45</v>
      </c>
      <c r="T6" s="12" t="s">
        <v>46</v>
      </c>
      <c r="U6" s="11" t="s">
        <v>37</v>
      </c>
      <c r="V6" s="11" t="s">
        <v>41</v>
      </c>
      <c r="W6" s="11" t="s">
        <v>38</v>
      </c>
      <c r="X6" s="11" t="s">
        <v>39</v>
      </c>
      <c r="Y6" s="11" t="s">
        <v>34</v>
      </c>
      <c r="Z6" s="18" t="s">
        <v>33</v>
      </c>
      <c r="AA6" s="18" t="s">
        <v>75</v>
      </c>
      <c r="AB6" s="18" t="s">
        <v>76</v>
      </c>
      <c r="AC6" s="18" t="s">
        <v>77</v>
      </c>
      <c r="AD6" s="18" t="s">
        <v>216</v>
      </c>
      <c r="AE6" s="18" t="s">
        <v>78</v>
      </c>
    </row>
    <row r="7" spans="1:39" ht="21.9" customHeight="1" x14ac:dyDescent="0.35">
      <c r="B7" s="42" t="s">
        <v>40</v>
      </c>
      <c r="C7" s="48" t="e">
        <f>ROUND([1]!IntrinioDataPoint(ticker,"days_to_cover"),1)&amp;" Days"</f>
        <v>#VALUE!</v>
      </c>
      <c r="D7" s="28"/>
      <c r="E7" s="54" t="s">
        <v>70</v>
      </c>
      <c r="F7" s="32"/>
      <c r="G7" s="36">
        <f>AVERAGE(Q11:Q15)</f>
        <v>6.1120599999999996</v>
      </c>
      <c r="H7" s="36">
        <f>[1]!IntrinioDataPoint(ticker,"pricetobook")</f>
        <v>9.0078999999999994</v>
      </c>
      <c r="I7" s="36">
        <f>H7*(1-[1]!IntrinioDataPoint(ticker,"current_yr_ave_eps_growth_est"))</f>
        <v>41.706576999999996</v>
      </c>
      <c r="J7" s="55">
        <f>I7*(1-[1]!IntrinioDataPoint(ticker,"next_yr_ave_eps_growth_est"))</f>
        <v>-410.80978344999994</v>
      </c>
      <c r="K7" s="17"/>
      <c r="L7" s="7"/>
      <c r="M7" s="7"/>
      <c r="N7" s="9" t="s">
        <v>2</v>
      </c>
      <c r="O7" s="3" t="str">
        <f ca="1">TEXT(O8-365*5,"YYYY-MM-DD")</f>
        <v>2014-05-09</v>
      </c>
      <c r="P7" s="3" t="str">
        <f ca="1">O7</f>
        <v>2014-05-09</v>
      </c>
      <c r="U7" s="3"/>
      <c r="V7" s="3"/>
      <c r="W7" s="3"/>
      <c r="X7" s="3"/>
      <c r="Y7" s="3"/>
      <c r="Z7" s="3"/>
      <c r="AA7" s="3"/>
      <c r="AB7" s="3"/>
      <c r="AC7" s="3"/>
      <c r="AD7" s="3"/>
      <c r="AE7" s="3"/>
    </row>
    <row r="8" spans="1:39" ht="21.9" customHeight="1" x14ac:dyDescent="0.35">
      <c r="B8" s="28"/>
      <c r="C8" s="28"/>
      <c r="D8" s="28"/>
      <c r="E8" s="52" t="s">
        <v>71</v>
      </c>
      <c r="F8" s="31"/>
      <c r="G8" s="35">
        <f>AVERAGE(R11:R15)</f>
        <v>7.6959800000000005</v>
      </c>
      <c r="H8" s="35">
        <f>[1]!IntrinioDataPoint(ticker,"evtoebitda")</f>
        <v>10.608000000000001</v>
      </c>
      <c r="I8" s="35">
        <f>H8*(1-[1]!IntrinioDataPoint(ticker,"current_yr_ave_eps_growth_est"))</f>
        <v>49.11504</v>
      </c>
      <c r="J8" s="53">
        <f>I8*(1-[1]!IntrinioDataPoint(ticker,"next_yr_ave_eps_growth_est"))</f>
        <v>-483.78314399999999</v>
      </c>
      <c r="K8" s="17"/>
      <c r="L8" s="7"/>
      <c r="M8" s="7"/>
      <c r="N8" s="9" t="s">
        <v>3</v>
      </c>
      <c r="O8" s="3" t="str">
        <f ca="1">TEXT(NOW(),"YYYY-MM-DD")</f>
        <v>2019-05-08</v>
      </c>
      <c r="P8" s="3" t="str">
        <f ca="1">O8</f>
        <v>2019-05-08</v>
      </c>
      <c r="U8" s="3"/>
      <c r="V8" s="3"/>
      <c r="W8" s="3"/>
      <c r="X8" s="3"/>
      <c r="Y8" s="3"/>
      <c r="Z8" s="3"/>
      <c r="AA8" s="3"/>
      <c r="AB8" s="3"/>
      <c r="AC8" s="3"/>
      <c r="AD8" s="3"/>
      <c r="AE8" s="3"/>
    </row>
    <row r="9" spans="1:39" ht="21.75" customHeight="1" x14ac:dyDescent="0.35">
      <c r="B9" s="392" t="s">
        <v>17</v>
      </c>
      <c r="C9" s="393"/>
      <c r="D9" s="28"/>
      <c r="E9" s="54" t="s">
        <v>73</v>
      </c>
      <c r="F9" s="30"/>
      <c r="G9" s="36">
        <f>IFERROR(AVERAGE(S11:S15),"nm")</f>
        <v>12.919299999999998</v>
      </c>
      <c r="H9" s="36">
        <f>[1]!IntrinioDataPoint(ticker,"evtofcff")</f>
        <v>19.125599999999999</v>
      </c>
      <c r="I9" s="36">
        <f>IFERROR(H9*(1-[1]!IntrinioDataPoint(ticker,"current_yr_ave_eps_growth_est")),"nm")</f>
        <v>88.55152799999999</v>
      </c>
      <c r="J9" s="55">
        <f>IFERROR(I9*(1-[1]!IntrinioDataPoint(ticker,"next_yr_ave_eps_growth_est")),"nm")</f>
        <v>-872.2325507999999</v>
      </c>
      <c r="K9" s="17"/>
      <c r="L9" s="7"/>
      <c r="M9" s="7"/>
      <c r="N9" s="9" t="s">
        <v>4</v>
      </c>
      <c r="O9" s="9" t="s">
        <v>42</v>
      </c>
      <c r="P9" t="str">
        <f>O9</f>
        <v>yearly</v>
      </c>
      <c r="Q9" t="str">
        <f t="shared" ref="Q9:Z9" si="0">P9</f>
        <v>yearly</v>
      </c>
      <c r="R9" t="str">
        <f t="shared" si="0"/>
        <v>yearly</v>
      </c>
      <c r="S9" t="str">
        <f t="shared" si="0"/>
        <v>yearly</v>
      </c>
      <c r="T9" t="str">
        <f t="shared" si="0"/>
        <v>yearly</v>
      </c>
      <c r="U9" s="11" t="str">
        <f t="shared" si="0"/>
        <v>yearly</v>
      </c>
      <c r="V9" s="11" t="str">
        <f t="shared" si="0"/>
        <v>yearly</v>
      </c>
      <c r="W9" s="11" t="str">
        <f t="shared" si="0"/>
        <v>yearly</v>
      </c>
      <c r="X9" s="11" t="str">
        <f t="shared" si="0"/>
        <v>yearly</v>
      </c>
      <c r="Y9" s="11" t="str">
        <f t="shared" si="0"/>
        <v>yearly</v>
      </c>
      <c r="Z9" s="18" t="str">
        <f t="shared" si="0"/>
        <v>yearly</v>
      </c>
      <c r="AA9" s="18" t="s">
        <v>42</v>
      </c>
      <c r="AB9" s="18" t="str">
        <f>AA9</f>
        <v>yearly</v>
      </c>
      <c r="AC9" s="18" t="str">
        <f>AB9</f>
        <v>yearly</v>
      </c>
      <c r="AD9" s="18" t="str">
        <f>AB9</f>
        <v>yearly</v>
      </c>
      <c r="AE9" s="18" t="str">
        <f>AC9</f>
        <v>yearly</v>
      </c>
    </row>
    <row r="10" spans="1:39" ht="21.9" customHeight="1" x14ac:dyDescent="0.35">
      <c r="B10" s="90" t="s">
        <v>22</v>
      </c>
      <c r="C10" s="92">
        <f>[1]!IntrinioDataPoint(ticker,"marketcap")/1000000</f>
        <v>953573.04755999998</v>
      </c>
      <c r="D10" s="28"/>
      <c r="E10" s="56" t="s">
        <v>72</v>
      </c>
      <c r="F10" s="57"/>
      <c r="G10" s="58">
        <f>AVERAGE(T11:T15)</f>
        <v>2.48116</v>
      </c>
      <c r="H10" s="58">
        <f>[1]!IntrinioDataPoint(ticker,"evtorevenue")</f>
        <v>3.3130999999999999</v>
      </c>
      <c r="I10" s="58">
        <f>[1]!IntrinioDataPoint(ticker,"evtocurrentyearrevenue")</f>
        <v>3.43621239098271</v>
      </c>
      <c r="J10" s="59">
        <f>[1]!IntrinioDataPoint(ticker,"evtonextyearrevenue")</f>
        <v>3.2942999419195398</v>
      </c>
      <c r="K10" s="17"/>
      <c r="L10" s="7"/>
      <c r="M10" s="7"/>
      <c r="N10" s="9" t="s">
        <v>6</v>
      </c>
      <c r="O10" s="9"/>
      <c r="U10" s="11"/>
      <c r="V10" s="11"/>
      <c r="W10" s="11"/>
      <c r="X10" s="11"/>
      <c r="Y10" s="11"/>
      <c r="AA10"/>
      <c r="AB10"/>
      <c r="AC10"/>
    </row>
    <row r="11" spans="1:39" ht="21.9" customHeight="1" x14ac:dyDescent="0.35">
      <c r="B11" s="42" t="s">
        <v>18</v>
      </c>
      <c r="C11" s="44">
        <f>[1]!IntrinioDataPoint(ticker,"enterprisevalue")/1000000</f>
        <v>840768.04755999998</v>
      </c>
      <c r="D11" s="28"/>
      <c r="E11" s="28"/>
      <c r="F11" s="28"/>
      <c r="G11" s="28"/>
      <c r="H11" s="28"/>
      <c r="I11" s="28"/>
      <c r="J11" s="28"/>
      <c r="K11" s="17"/>
      <c r="L11" s="7"/>
      <c r="M11" s="7"/>
      <c r="N11" s="9">
        <v>0</v>
      </c>
      <c r="O11" s="14">
        <f ca="1">IFERROR([1]!IntrinioHistoricalData(ticker,O$6,$N11,O$7,O$8,O$9),"")</f>
        <v>17.1417</v>
      </c>
      <c r="P11" s="13">
        <f ca="1">IFERROR([1]!IntrinioHistoricalData(ticker,P$6,$N11,P$7,P$8,P$9),"")</f>
        <v>3.8618000000000001</v>
      </c>
      <c r="Q11" s="13">
        <f>IFERROR([1]!IntrinioHistoricalData(ticker,Q$6,$N11,Q$7,Q$8,Q$9),"")</f>
        <v>9.2574000000000005</v>
      </c>
      <c r="R11" s="13">
        <f>IFERROR([1]!IntrinioHistoricalData(ticker,R$6,$N11,R$7,R$8,R$9),"")</f>
        <v>10.9413</v>
      </c>
      <c r="S11" s="13">
        <f>IFERROR([1]!IntrinioHistoricalData(ticker,S$6,$N11,S$7,S$8,S$9),"")</f>
        <v>19.726500000000001</v>
      </c>
      <c r="T11" s="13">
        <f>IFERROR([1]!IntrinioHistoricalData(ticker,T$6,$N11,T$7,T$8,T$9),"")</f>
        <v>3.4171999999999998</v>
      </c>
      <c r="U11" s="6">
        <f>IFERROR([1]!IntrinioHistoricalData(ticker,U$6,$N11,U$7,U$8,U$9),"")</f>
        <v>0.38340000000000002</v>
      </c>
      <c r="V11" s="6">
        <f>IFERROR([1]!IntrinioHistoricalData(ticker,V$6,$N11,V$7,V$8,V$9),"")</f>
        <v>0.3155</v>
      </c>
      <c r="W11" s="6">
        <f>IFERROR([1]!IntrinioHistoricalData(ticker,W$6,$N11,W$7,W$8,W$9),"")</f>
        <v>0.26690000000000003</v>
      </c>
      <c r="X11" s="6">
        <f>IFERROR([1]!IntrinioHistoricalData(ticker,X$6,$N11,X$7,X$8,X$9),"")</f>
        <v>0.27450000000000002</v>
      </c>
      <c r="Y11" s="6">
        <f>IFERROR([1]!IntrinioHistoricalData(ticker,Y$6,$N11,Y$7,Y$8,Y$9),"")</f>
        <v>0.22409999999999999</v>
      </c>
      <c r="Z11" s="6">
        <f>IFERROR([1]!IntrinioHistoricalData(ticker,Z$6,$N11,Z$7,Z$8,Z$9),"")</f>
        <v>0.49359999999999998</v>
      </c>
      <c r="AA11" s="6">
        <f>IFERROR([1]!IntrinioHistoricalData(ticker,AA$6,$N11,AA$7,AA$8,AA$9),"")</f>
        <v>0.15859999999999999</v>
      </c>
      <c r="AB11" s="6">
        <f>IFERROR([1]!IntrinioHistoricalData(ticker,AB$6,$N11,AB$7,AB$8,AB$9),"")</f>
        <v>0.1288</v>
      </c>
      <c r="AC11" s="6">
        <f>IFERROR([1]!IntrinioHistoricalData(ticker,AC$6,$N11,AC$7,AC$8,AC$9),"")</f>
        <v>0.13750000000000001</v>
      </c>
      <c r="AD11" s="6">
        <f>IFERROR([1]!IntrinioHistoricalData(ticker,AD$6,$N11,AD$7,AD$8,AD$9),"")</f>
        <v>0.23119999999999999</v>
      </c>
      <c r="AE11" s="6">
        <f>IFERROR([1]!IntrinioHistoricalData(ticker,AE$6,$N11,AE$7,AE$8,AE$9),"")</f>
        <v>0.29320000000000002</v>
      </c>
    </row>
    <row r="12" spans="1:39" ht="21.9" customHeight="1" x14ac:dyDescent="0.35">
      <c r="B12" s="41" t="s">
        <v>23</v>
      </c>
      <c r="C12" s="45">
        <f>[1]!IntrinioDataPoint(ticker,"weightedavebasicsharesos")/1000000</f>
        <v>4674.0709999999999</v>
      </c>
      <c r="D12" s="28"/>
      <c r="E12" s="389" t="s">
        <v>25</v>
      </c>
      <c r="F12" s="390"/>
      <c r="G12" s="390"/>
      <c r="H12" s="391"/>
      <c r="I12" s="33"/>
      <c r="J12" s="33"/>
      <c r="K12" s="17"/>
      <c r="L12" s="7"/>
      <c r="M12" s="7"/>
      <c r="N12" s="9">
        <f>N11+1</f>
        <v>1</v>
      </c>
      <c r="O12" s="14">
        <f ca="1">IFERROR([1]!IntrinioHistoricalData(ticker,O$6,$N12,O$7,O$8,O$9),"")</f>
        <v>12.6149</v>
      </c>
      <c r="P12" s="13">
        <f ca="1">IFERROR([1]!IntrinioHistoricalData(ticker,P$6,$N12,P$7,P$8,P$9),"")</f>
        <v>2.8658000000000001</v>
      </c>
      <c r="Q12" s="13">
        <f>IFERROR([1]!IntrinioHistoricalData(ticker,Q$6,$N12,Q$7,Q$8,Q$9),"")</f>
        <v>6.3593999999999999</v>
      </c>
      <c r="R12" s="13">
        <f>IFERROR([1]!IntrinioHistoricalData(ticker,R$6,$N12,R$7,R$8,R$9),"")</f>
        <v>7.6158999999999999</v>
      </c>
      <c r="S12" s="13">
        <f>IFERROR([1]!IntrinioHistoricalData(ticker,S$6,$N12,S$7,S$8,S$9),"")</f>
        <v>12.957000000000001</v>
      </c>
      <c r="T12" s="13">
        <f>IFERROR([1]!IntrinioHistoricalData(ticker,T$6,$N12,T$7,T$8,T$9),"")</f>
        <v>2.3677000000000001</v>
      </c>
      <c r="U12" s="6">
        <f>IFERROR([1]!IntrinioHistoricalData(ticker,U$6,$N12,U$7,U$8,U$9),"")</f>
        <v>0.38469999999999999</v>
      </c>
      <c r="V12" s="6">
        <f>IFERROR([1]!IntrinioHistoricalData(ticker,V$6,$N12,V$7,V$8,V$9),"")</f>
        <v>0.32390000000000002</v>
      </c>
      <c r="W12" s="6">
        <f>IFERROR([1]!IntrinioHistoricalData(ticker,W$6,$N12,W$7,W$8,W$9),"")</f>
        <v>0.2676</v>
      </c>
      <c r="X12" s="6">
        <f>IFERROR([1]!IntrinioHistoricalData(ticker,X$6,$N12,X$7,X$8,X$9),"")</f>
        <v>0.27960000000000002</v>
      </c>
      <c r="Y12" s="6">
        <f>IFERROR([1]!IntrinioHistoricalData(ticker,Y$6,$N12,Y$7,Y$8,Y$9),"")</f>
        <v>0.2109</v>
      </c>
      <c r="Z12" s="6">
        <f>IFERROR([1]!IntrinioHistoricalData(ticker,Z$6,$N12,Z$7,Z$8,Z$9),"")</f>
        <v>0.36870000000000003</v>
      </c>
      <c r="AA12" s="6">
        <f>IFERROR([1]!IntrinioHistoricalData(ticker,AA$6,$N12,AA$7,AA$8,AA$9),"")</f>
        <v>6.3E-2</v>
      </c>
      <c r="AB12" s="6">
        <f>IFERROR([1]!IntrinioHistoricalData(ticker,AB$6,$N12,AB$7,AB$8,AB$9),"")</f>
        <v>3.3000000000000002E-2</v>
      </c>
      <c r="AC12" s="6">
        <f>IFERROR([1]!IntrinioHistoricalData(ticker,AC$6,$N12,AC$7,AC$8,AC$9),"")</f>
        <v>4.4299999999999999E-2</v>
      </c>
      <c r="AD12" s="6">
        <f>IFERROR([1]!IntrinioHistoricalData(ticker,AD$6,$N12,AD$7,AD$8,AD$9),"")</f>
        <v>5.8299999999999998E-2</v>
      </c>
      <c r="AE12" s="6">
        <f>IFERROR([1]!IntrinioHistoricalData(ticker,AE$6,$N12,AE$7,AE$8,AE$9),"")</f>
        <v>0.10829999999999999</v>
      </c>
    </row>
    <row r="13" spans="1:39" ht="21.9" customHeight="1" x14ac:dyDescent="0.35">
      <c r="B13" s="42" t="s">
        <v>19</v>
      </c>
      <c r="C13" s="43">
        <f>[1]!IntrinioDataPoint(ticker,"forward_dividend_rate")</f>
        <v>3.08</v>
      </c>
      <c r="D13" s="28"/>
      <c r="E13" s="79"/>
      <c r="F13" s="80" t="s">
        <v>65</v>
      </c>
      <c r="G13" s="80" t="str">
        <f>G4</f>
        <v>5 Yr Ave</v>
      </c>
      <c r="H13" s="81" t="s">
        <v>9</v>
      </c>
      <c r="I13" s="34"/>
      <c r="J13" s="34"/>
      <c r="K13" s="49"/>
      <c r="L13" s="49"/>
      <c r="M13" s="7"/>
      <c r="N13" s="9">
        <f>N12+1</f>
        <v>2</v>
      </c>
      <c r="O13" s="14">
        <f ca="1">IFERROR([1]!IntrinioHistoricalData(ticker,O$6,$N13,O$7,O$8,O$9),"")</f>
        <v>16.947399999999998</v>
      </c>
      <c r="P13" s="13">
        <f ca="1">IFERROR([1]!IntrinioHistoricalData(ticker,P$6,$N13,P$7,P$8,P$9),"")</f>
        <v>3.5800999999999998</v>
      </c>
      <c r="Q13" s="13">
        <f>IFERROR([1]!IntrinioHistoricalData(ticker,Q$6,$N13,Q$7,Q$8,Q$9),"")</f>
        <v>6.1074999999999999</v>
      </c>
      <c r="R13" s="13">
        <f>IFERROR([1]!IntrinioHistoricalData(ticker,R$6,$N13,R$7,R$8,R$9),"")</f>
        <v>9.0244999999999997</v>
      </c>
      <c r="S13" s="13">
        <f>IFERROR([1]!IntrinioHistoricalData(ticker,S$6,$N13,S$7,S$8,S$9),"")</f>
        <v>15.464600000000001</v>
      </c>
      <c r="T13" s="13">
        <f>IFERROR([1]!IntrinioHistoricalData(ticker,T$6,$N13,T$7,T$8,T$9),"")</f>
        <v>2.8997999999999999</v>
      </c>
      <c r="U13" s="6">
        <f>IFERROR([1]!IntrinioHistoricalData(ticker,U$6,$N13,U$7,U$8,U$9),"")</f>
        <v>0.39079999999999998</v>
      </c>
      <c r="V13" s="6">
        <f>IFERROR([1]!IntrinioHistoricalData(ticker,V$6,$N13,V$7,V$8,V$9),"")</f>
        <v>0.33329999999999999</v>
      </c>
      <c r="W13" s="6">
        <f>IFERROR([1]!IntrinioHistoricalData(ticker,W$6,$N13,W$7,W$8,W$9),"")</f>
        <v>0.27839999999999998</v>
      </c>
      <c r="X13" s="6">
        <f>IFERROR([1]!IntrinioHistoricalData(ticker,X$6,$N13,X$7,X$8,X$9),"")</f>
        <v>0.28460000000000002</v>
      </c>
      <c r="Y13" s="6">
        <f>IFERROR([1]!IntrinioHistoricalData(ticker,Y$6,$N13,Y$7,Y$8,Y$9),"")</f>
        <v>0.21190000000000001</v>
      </c>
      <c r="Z13" s="6">
        <f>IFERROR([1]!IntrinioHistoricalData(ticker,Z$6,$N13,Z$7,Z$8,Z$9),"")</f>
        <v>0.36899999999999999</v>
      </c>
      <c r="AA13" s="6">
        <f>IFERROR([1]!IntrinioHistoricalData(ticker,AA$6,$N13,AA$7,AA$8,AA$9),"")</f>
        <v>-7.7299999999999994E-2</v>
      </c>
      <c r="AB13" s="6">
        <f>IFERROR([1]!IntrinioHistoricalData(ticker,AB$6,$N13,AB$7,AB$8,AB$9),"")</f>
        <v>-0.14199999999999999</v>
      </c>
      <c r="AC13" s="6">
        <f>IFERROR([1]!IntrinioHistoricalData(ticker,AC$6,$N13,AC$7,AC$8,AC$9),"")</f>
        <v>-0.1537</v>
      </c>
      <c r="AD13" s="6">
        <f>IFERROR([1]!IntrinioHistoricalData(ticker,AD$6,$N13,AD$7,AD$8,AD$9),"")</f>
        <v>-0.14430000000000001</v>
      </c>
      <c r="AE13" s="6">
        <f>IFERROR([1]!IntrinioHistoricalData(ticker,AE$6,$N13,AE$7,AE$8,AE$9),"")</f>
        <v>-9.8699999999999996E-2</v>
      </c>
    </row>
    <row r="14" spans="1:39" ht="21.9" customHeight="1" x14ac:dyDescent="0.35">
      <c r="B14" s="41" t="s">
        <v>81</v>
      </c>
      <c r="C14" s="46">
        <f>[1]!IntrinioDataPoint(ticker,"forward_dividend_yield")</f>
        <v>1.4774000000000001E-2</v>
      </c>
      <c r="D14" s="28"/>
      <c r="E14" s="75" t="s">
        <v>26</v>
      </c>
      <c r="F14" s="76"/>
      <c r="G14" s="77">
        <f>AVERAGE($U$11:$U$15)</f>
        <v>0.38908000000000004</v>
      </c>
      <c r="H14" s="78">
        <f>U11</f>
        <v>0.38340000000000002</v>
      </c>
      <c r="I14" s="29"/>
      <c r="J14" s="50"/>
      <c r="K14" s="49"/>
      <c r="L14" s="49"/>
      <c r="M14" s="7"/>
      <c r="N14" s="9">
        <f>N13+1</f>
        <v>3</v>
      </c>
      <c r="O14" s="14">
        <f ca="1">IFERROR([1]!IntrinioHistoricalData(ticker,O$6,$N14,O$7,O$8,O$9),"")</f>
        <v>13.1761</v>
      </c>
      <c r="P14" s="13">
        <f ca="1">IFERROR([1]!IntrinioHistoricalData(ticker,P$6,$N14,P$7,P$8,P$9),"")</f>
        <v>2.7315</v>
      </c>
      <c r="Q14" s="13">
        <f>IFERROR([1]!IntrinioHistoricalData(ticker,Q$6,$N14,Q$7,Q$8,Q$9),"")</f>
        <v>4.5002000000000004</v>
      </c>
      <c r="R14" s="13">
        <f>IFERROR([1]!IntrinioHistoricalData(ticker,R$6,$N14,R$7,R$8,R$9),"")</f>
        <v>6.1138000000000003</v>
      </c>
      <c r="S14" s="13">
        <f>IFERROR([1]!IntrinioHistoricalData(ticker,S$6,$N14,S$7,S$8,S$9),"")</f>
        <v>9.5995000000000008</v>
      </c>
      <c r="T14" s="13">
        <f>IFERROR([1]!IntrinioHistoricalData(ticker,T$6,$N14,T$7,T$8,T$9),"")</f>
        <v>2.0045999999999999</v>
      </c>
      <c r="U14" s="6">
        <f>IFERROR([1]!IntrinioHistoricalData(ticker,U$6,$N14,U$7,U$8,U$9),"")</f>
        <v>0.40060000000000001</v>
      </c>
      <c r="V14" s="6">
        <f>IFERROR([1]!IntrinioHistoricalData(ticker,V$6,$N14,V$7,V$8,V$9),"")</f>
        <v>0.3584</v>
      </c>
      <c r="W14" s="6">
        <f>IFERROR([1]!IntrinioHistoricalData(ticker,W$6,$N14,W$7,W$8,W$9),"")</f>
        <v>0.30480000000000002</v>
      </c>
      <c r="X14" s="6">
        <f>IFERROR([1]!IntrinioHistoricalData(ticker,X$6,$N14,X$7,X$8,X$9),"")</f>
        <v>0.31030000000000002</v>
      </c>
      <c r="Y14" s="6">
        <f>IFERROR([1]!IntrinioHistoricalData(ticker,Y$6,$N14,Y$7,Y$8,Y$9),"")</f>
        <v>0.22850000000000001</v>
      </c>
      <c r="Z14" s="6">
        <f>IFERROR([1]!IntrinioHistoricalData(ticker,Z$6,$N14,Z$7,Z$8,Z$9),"")</f>
        <v>0.46250000000000002</v>
      </c>
      <c r="AA14" s="6">
        <f>IFERROR([1]!IntrinioHistoricalData(ticker,AA$6,$N14,AA$7,AA$8,AA$9),"")</f>
        <v>0.27860000000000001</v>
      </c>
      <c r="AB14" s="6">
        <f>IFERROR([1]!IntrinioHistoricalData(ticker,AB$6,$N14,AB$7,AB$8,AB$9),"")</f>
        <v>0.36370000000000002</v>
      </c>
      <c r="AC14" s="6">
        <f>IFERROR([1]!IntrinioHistoricalData(ticker,AC$6,$N14,AC$7,AC$8,AC$9),"")</f>
        <v>0.35589999999999999</v>
      </c>
      <c r="AD14" s="6">
        <f>IFERROR([1]!IntrinioHistoricalData(ticker,AD$6,$N14,AD$7,AD$8,AD$9),"")</f>
        <v>0.35139999999999999</v>
      </c>
      <c r="AE14" s="6">
        <f>IFERROR([1]!IntrinioHistoricalData(ticker,AE$6,$N14,AE$7,AE$8,AE$9),"")</f>
        <v>0.42949999999999999</v>
      </c>
    </row>
    <row r="15" spans="1:39" ht="21.9" customHeight="1" x14ac:dyDescent="0.35">
      <c r="B15" s="42" t="s">
        <v>159</v>
      </c>
      <c r="C15" s="43" t="str">
        <f>IF([1]!IntrinioDataPoint(ticker,"dividend_ex_date")="","",[1]!IntrinioDataPoint(ticker,"dividend_ex_date"))</f>
        <v>2019-02-08</v>
      </c>
      <c r="D15" s="28"/>
      <c r="E15" s="62" t="s">
        <v>27</v>
      </c>
      <c r="F15" s="39"/>
      <c r="G15" s="40">
        <f>AVERAGE($V$11:$V$15)</f>
        <v>0.33344000000000001</v>
      </c>
      <c r="H15" s="63">
        <f>V11</f>
        <v>0.3155</v>
      </c>
      <c r="I15" s="29"/>
      <c r="J15" s="50"/>
      <c r="K15" s="49"/>
      <c r="L15" s="49"/>
      <c r="M15" s="7"/>
      <c r="N15" s="9">
        <f>N14+1</f>
        <v>4</v>
      </c>
      <c r="O15" s="14">
        <f ca="1">IFERROR([1]!IntrinioHistoricalData(ticker,O$6,$N15,O$7,O$8,O$9),"")</f>
        <v>10.3504</v>
      </c>
      <c r="P15" s="13">
        <f ca="1">IFERROR([1]!IntrinioHistoricalData(ticker,P$6,$N15,P$7,P$8,P$9),"")</f>
        <v>2.3666999999999998</v>
      </c>
      <c r="Q15" s="13">
        <f>IFERROR([1]!IntrinioHistoricalData(ticker,Q$6,$N15,Q$7,Q$8,Q$9),"")</f>
        <v>4.3357999999999999</v>
      </c>
      <c r="R15" s="13">
        <f>IFERROR([1]!IntrinioHistoricalData(ticker,R$6,$N15,R$7,R$8,R$9),"")</f>
        <v>4.7843999999999998</v>
      </c>
      <c r="S15" s="13">
        <f>IFERROR([1]!IntrinioHistoricalData(ticker,S$6,$N15,S$7,S$8,S$9),"")</f>
        <v>6.8489000000000004</v>
      </c>
      <c r="T15" s="13">
        <f>IFERROR([1]!IntrinioHistoricalData(ticker,T$6,$N15,T$7,T$8,T$9),"")</f>
        <v>1.7164999999999999</v>
      </c>
      <c r="U15" s="6">
        <f>IFERROR([1]!IntrinioHistoricalData(ticker,U$6,$N15,U$7,U$8,U$9),"")</f>
        <v>0.38590000000000002</v>
      </c>
      <c r="V15" s="6">
        <f>IFERROR([1]!IntrinioHistoricalData(ticker,V$6,$N15,V$7,V$8,V$9),"")</f>
        <v>0.33610000000000001</v>
      </c>
      <c r="W15" s="6">
        <f>IFERROR([1]!IntrinioHistoricalData(ticker,W$6,$N15,W$7,W$8,W$9),"")</f>
        <v>0.28720000000000001</v>
      </c>
      <c r="X15" s="6">
        <f>IFERROR([1]!IntrinioHistoricalData(ticker,X$6,$N15,X$7,X$8,X$9),"")</f>
        <v>0.29260000000000003</v>
      </c>
      <c r="Y15" s="6">
        <f>IFERROR([1]!IntrinioHistoricalData(ticker,Y$6,$N15,Y$7,Y$8,Y$9),"")</f>
        <v>0.21609999999999999</v>
      </c>
      <c r="Z15" s="6">
        <f>IFERROR([1]!IntrinioHistoricalData(ticker,Z$6,$N15,Z$7,Z$8,Z$9),"")</f>
        <v>0.33610000000000001</v>
      </c>
      <c r="AA15" s="6">
        <f>IFERROR([1]!IntrinioHistoricalData(ticker,AA$6,$N15,AA$7,AA$8,AA$9),"")</f>
        <v>6.9500000000000006E-2</v>
      </c>
      <c r="AB15" s="6">
        <f>IFERROR([1]!IntrinioHistoricalData(ticker,AB$6,$N15,AB$7,AB$8,AB$9),"")</f>
        <v>7.9399999999999998E-2</v>
      </c>
      <c r="AC15" s="6">
        <f>IFERROR([1]!IntrinioHistoricalData(ticker,AC$6,$N15,AC$7,AC$8,AC$9),"")</f>
        <v>6.6400000000000001E-2</v>
      </c>
      <c r="AD15" s="6">
        <f>IFERROR([1]!IntrinioHistoricalData(ticker,AD$6,$N15,AD$7,AD$8,AD$9),"")</f>
        <v>6.6799999999999998E-2</v>
      </c>
      <c r="AE15" s="6">
        <f>IFERROR([1]!IntrinioHistoricalData(ticker,AE$6,$N15,AE$7,AE$8,AE$9),"")</f>
        <v>0.1356</v>
      </c>
    </row>
    <row r="16" spans="1:39" ht="21.9" customHeight="1" x14ac:dyDescent="0.35">
      <c r="B16" s="28"/>
      <c r="C16" s="28"/>
      <c r="D16" s="28"/>
      <c r="E16" s="60" t="s">
        <v>28</v>
      </c>
      <c r="F16" s="37"/>
      <c r="G16" s="38">
        <f>AVERAGE($W$11:$W$15)</f>
        <v>0.28098000000000001</v>
      </c>
      <c r="H16" s="61">
        <f>W11</f>
        <v>0.26690000000000003</v>
      </c>
      <c r="I16" s="29"/>
      <c r="J16" s="50"/>
      <c r="K16" s="49"/>
      <c r="L16" s="49"/>
      <c r="M16" s="7"/>
      <c r="N16" s="9">
        <f>N15+1</f>
        <v>5</v>
      </c>
      <c r="O16" s="14">
        <f ca="1">IFERROR([1]!IntrinioHistoricalData(ticker,O$6,$N16,O$7,O$8,O$9),"")</f>
        <v>13.56</v>
      </c>
      <c r="P16" s="13">
        <f ca="1">IFERROR([1]!IntrinioHistoricalData(ticker,P$6,$N16,P$7,P$8,P$9),"")</f>
        <v>3.0175000000000001</v>
      </c>
      <c r="Q16" s="13">
        <f>IFERROR([1]!IntrinioHistoricalData(ticker,Q$6,$N16,Q$7,Q$8,Q$9),"")</f>
        <v>4.8886000000000003</v>
      </c>
      <c r="R16" s="13">
        <f>IFERROR([1]!IntrinioHistoricalData(ticker,R$6,$N16,R$7,R$8,R$9),"")</f>
        <v>6.7285000000000004</v>
      </c>
      <c r="S16" s="13">
        <f>IFERROR([1]!IntrinioHistoricalData(ticker,S$6,$N16,S$7,S$8,S$9),"")</f>
        <v>9.2601999999999993</v>
      </c>
      <c r="T16" s="13">
        <f>IFERROR([1]!IntrinioHistoricalData(ticker,T$6,$N16,T$7,T$8,T$9),"")</f>
        <v>2.3090999999999999</v>
      </c>
      <c r="U16" s="6">
        <f>IFERROR([1]!IntrinioHistoricalData(ticker,U$6,$N16,U$7,U$8,U$9),"")</f>
        <v>0.37619999999999998</v>
      </c>
      <c r="V16" s="6">
        <f>IFERROR([1]!IntrinioHistoricalData(ticker,V$6,$N16,V$7,V$8,V$9),"")</f>
        <v>0.33300000000000002</v>
      </c>
      <c r="W16" s="6">
        <f>IFERROR([1]!IntrinioHistoricalData(ticker,W$6,$N16,W$7,W$8,W$9),"")</f>
        <v>0.28670000000000001</v>
      </c>
      <c r="X16" s="6">
        <f>IFERROR([1]!IntrinioHistoricalData(ticker,X$6,$N16,X$7,X$8,X$9),"")</f>
        <v>0.29349999999999998</v>
      </c>
      <c r="Y16" s="6">
        <f>IFERROR([1]!IntrinioHistoricalData(ticker,Y$6,$N16,Y$7,Y$8,Y$9),"")</f>
        <v>0.2167</v>
      </c>
      <c r="Z16" s="6">
        <f>IFERROR([1]!IntrinioHistoricalData(ticker,Z$6,$N16,Z$7,Z$8,Z$9),"")</f>
        <v>0.30640000000000001</v>
      </c>
      <c r="AA16" s="6">
        <f>IFERROR([1]!IntrinioHistoricalData(ticker,AA$6,$N16,AA$7,AA$8,AA$9),"")</f>
        <v>9.1999999999999998E-2</v>
      </c>
      <c r="AB16" s="6">
        <f>IFERROR([1]!IntrinioHistoricalData(ticker,AB$6,$N16,AB$7,AB$8,AB$9),"")</f>
        <v>-3.5999999999999997E-2</v>
      </c>
      <c r="AC16" s="6">
        <f>IFERROR([1]!IntrinioHistoricalData(ticker,AC$6,$N16,AC$7,AC$8,AC$9),"")</f>
        <v>-0.10059999999999999</v>
      </c>
      <c r="AD16" s="6">
        <f>IFERROR([1]!IntrinioHistoricalData(ticker,AD$6,$N16,AD$7,AD$8,AD$9),"")</f>
        <v>-0.1125</v>
      </c>
      <c r="AE16" s="6">
        <f>IFERROR([1]!IntrinioHistoricalData(ticker,AE$6,$N16,AE$7,AE$8,AE$9),"")</f>
        <v>-0.1125</v>
      </c>
      <c r="AF16" s="8"/>
      <c r="AG16" s="8"/>
      <c r="AH16" s="8"/>
      <c r="AI16" s="8"/>
      <c r="AJ16" s="8"/>
      <c r="AK16" s="8"/>
      <c r="AL16" s="8"/>
      <c r="AM16" s="8"/>
    </row>
    <row r="17" spans="1:39" ht="21.9" customHeight="1" x14ac:dyDescent="0.35">
      <c r="B17" s="392" t="s">
        <v>20</v>
      </c>
      <c r="C17" s="393"/>
      <c r="D17" s="28"/>
      <c r="E17" s="62" t="s">
        <v>215</v>
      </c>
      <c r="F17" s="39"/>
      <c r="G17" s="40">
        <f>AVERAGE($Y$11:$Y$15)</f>
        <v>0.21830000000000002</v>
      </c>
      <c r="H17" s="63">
        <f>Y11</f>
        <v>0.22409999999999999</v>
      </c>
      <c r="I17" s="29"/>
      <c r="J17" s="50"/>
      <c r="K17" s="49"/>
      <c r="L17" s="49"/>
      <c r="M17" s="7"/>
      <c r="N17" s="9"/>
      <c r="O17" s="14"/>
      <c r="U17" s="6"/>
      <c r="V17" s="6"/>
      <c r="W17" s="6"/>
      <c r="X17" s="6"/>
      <c r="Y17" s="6"/>
      <c r="Z17" s="6"/>
      <c r="AA17" s="6"/>
      <c r="AB17" s="6"/>
      <c r="AC17" s="6"/>
      <c r="AD17" s="6"/>
      <c r="AE17" s="6"/>
    </row>
    <row r="18" spans="1:39" ht="21.9" customHeight="1" x14ac:dyDescent="0.35">
      <c r="B18" s="90" t="s">
        <v>217</v>
      </c>
      <c r="C18" s="92" t="str">
        <f>[1]!IntrinioDataPoint(ticker,"next_earnings_date")</f>
        <v>2019-07-30</v>
      </c>
      <c r="D18" s="28"/>
      <c r="E18" s="64" t="s">
        <v>29</v>
      </c>
      <c r="F18" s="65"/>
      <c r="G18" s="66">
        <f>AVERAGE($Z$11:$Z$15)</f>
        <v>0.40598000000000001</v>
      </c>
      <c r="H18" s="67">
        <f>Z11</f>
        <v>0.49359999999999998</v>
      </c>
      <c r="I18" s="29"/>
      <c r="J18" s="50"/>
      <c r="K18" s="49"/>
      <c r="L18" s="49"/>
      <c r="M18" s="7"/>
      <c r="N18" s="9"/>
      <c r="O18" s="14"/>
      <c r="U18" s="6"/>
      <c r="V18" s="6"/>
      <c r="W18" s="6"/>
      <c r="X18" s="6"/>
      <c r="Y18" s="6"/>
      <c r="Z18" s="6"/>
      <c r="AA18" s="6"/>
      <c r="AB18" s="6"/>
      <c r="AC18" s="6"/>
      <c r="AD18" s="6"/>
      <c r="AE18" s="6"/>
    </row>
    <row r="19" spans="1:39" ht="21.75" customHeight="1" x14ac:dyDescent="0.35">
      <c r="B19" s="90" t="str">
        <f>"Revenue (M) - "&amp;Profile!$T$7&amp;"A"</f>
        <v>Revenue (M) - 2018A</v>
      </c>
      <c r="C19" s="92">
        <f>[1]!IntrinioFinancials(ticker,"income_statement",0,"FY","totalrevenue","A")/1000000</f>
        <v>265595</v>
      </c>
      <c r="D19" s="28"/>
      <c r="E19" s="28"/>
      <c r="F19" s="28"/>
      <c r="G19" s="28"/>
      <c r="H19" s="28"/>
      <c r="I19" s="28"/>
      <c r="J19" s="50"/>
      <c r="K19" s="49"/>
      <c r="L19" s="49"/>
      <c r="M19" s="7"/>
      <c r="N19" s="9"/>
      <c r="O19" s="14"/>
      <c r="U19" s="6"/>
      <c r="V19" s="6"/>
      <c r="W19" s="6"/>
      <c r="X19" s="6"/>
      <c r="Y19" s="6"/>
      <c r="Z19" s="6"/>
      <c r="AA19" s="6"/>
      <c r="AB19" s="6"/>
      <c r="AC19" s="6"/>
      <c r="AD19" s="6"/>
      <c r="AE19" s="6"/>
    </row>
    <row r="20" spans="1:39" ht="21.9" customHeight="1" x14ac:dyDescent="0.35">
      <c r="B20" s="42" t="str">
        <f>"Revenue (M) - "&amp;Profile!$U$7</f>
        <v>Revenue (M) - 2019E</v>
      </c>
      <c r="C20" s="44">
        <f>[1]!IntrinioDataPoint(ticker,"current_yr_ave_revenue_est")/1000000</f>
        <v>256928.663</v>
      </c>
      <c r="D20" s="28"/>
      <c r="E20" s="389" t="s">
        <v>30</v>
      </c>
      <c r="F20" s="390"/>
      <c r="G20" s="390"/>
      <c r="H20" s="391"/>
      <c r="I20" s="33"/>
      <c r="J20" s="33"/>
      <c r="K20" s="49"/>
      <c r="L20" s="49"/>
      <c r="M20" s="7"/>
      <c r="N20" s="9"/>
      <c r="O20" s="14"/>
      <c r="U20" s="6"/>
      <c r="V20" s="6"/>
      <c r="W20" s="6"/>
      <c r="X20" s="6"/>
      <c r="Y20" s="6"/>
      <c r="Z20" s="6"/>
      <c r="AA20" s="6"/>
      <c r="AB20" s="6"/>
      <c r="AC20" s="6"/>
      <c r="AD20" s="6"/>
      <c r="AE20" s="6"/>
    </row>
    <row r="21" spans="1:39" ht="21.9" customHeight="1" x14ac:dyDescent="0.35">
      <c r="B21" s="90" t="str">
        <f>"Revenue (M) - "&amp;Profile!$V$7</f>
        <v>Revenue (M) - 2020E</v>
      </c>
      <c r="C21" s="92">
        <f>[1]!IntrinioDataPoint(ticker,"next_yr_ave_revenue_est")/1000000</f>
        <v>267142.15399999998</v>
      </c>
      <c r="D21" s="28"/>
      <c r="E21" s="79"/>
      <c r="F21" s="80" t="s">
        <v>65</v>
      </c>
      <c r="G21" s="80" t="s">
        <v>67</v>
      </c>
      <c r="H21" s="81" t="s">
        <v>9</v>
      </c>
      <c r="I21" s="34"/>
      <c r="J21" s="34"/>
      <c r="K21" s="49"/>
      <c r="L21" s="49"/>
      <c r="M21" s="7"/>
      <c r="N21" s="9"/>
      <c r="O21" s="14"/>
      <c r="U21" s="6"/>
      <c r="V21" s="6"/>
      <c r="W21" s="6"/>
      <c r="X21" s="6"/>
      <c r="Y21" s="6"/>
      <c r="Z21" s="6"/>
      <c r="AA21" s="6"/>
      <c r="AB21" s="6"/>
      <c r="AC21" s="6"/>
      <c r="AD21" s="6"/>
      <c r="AE21" s="6"/>
    </row>
    <row r="22" spans="1:39" ht="21.9" customHeight="1" x14ac:dyDescent="0.35">
      <c r="B22" s="42" t="str">
        <f>"EPS - "&amp;Profile!$T$7&amp;"A"</f>
        <v>EPS - 2018A</v>
      </c>
      <c r="C22" s="43">
        <f>Profile!$T$8</f>
        <v>11.91</v>
      </c>
      <c r="D22" s="28"/>
      <c r="E22" s="82" t="s">
        <v>66</v>
      </c>
      <c r="F22" s="83"/>
      <c r="G22" s="84">
        <f>((1*(1+AA15)*(1+AA14)*(1+AA13)*(1+AA12)*(1+AA11))^(1/5))-1</f>
        <v>9.2165766587773978E-2</v>
      </c>
      <c r="H22" s="85">
        <f>AA11</f>
        <v>0.15859999999999999</v>
      </c>
      <c r="I22" s="29"/>
      <c r="J22" s="50"/>
      <c r="K22" s="49"/>
      <c r="L22" s="49"/>
      <c r="M22" s="7"/>
      <c r="N22" s="9"/>
      <c r="O22" s="14"/>
      <c r="P22" s="8"/>
      <c r="Q22" s="8"/>
      <c r="R22" s="8"/>
      <c r="S22" s="8"/>
      <c r="T22" s="8"/>
      <c r="U22" s="6"/>
      <c r="V22" s="6"/>
      <c r="W22" s="6"/>
      <c r="X22" s="6"/>
      <c r="Y22" s="6"/>
      <c r="Z22" s="6"/>
      <c r="AA22" s="6"/>
      <c r="AB22" s="6"/>
      <c r="AC22" s="6"/>
      <c r="AD22" s="6"/>
      <c r="AE22" s="6"/>
      <c r="AF22" s="8"/>
      <c r="AG22" s="8"/>
      <c r="AH22" s="8"/>
      <c r="AI22" s="8"/>
      <c r="AJ22" s="8"/>
      <c r="AK22" s="8"/>
      <c r="AL22" s="8"/>
      <c r="AM22" s="8"/>
    </row>
    <row r="23" spans="1:39" ht="21.9" customHeight="1" x14ac:dyDescent="0.35">
      <c r="B23" s="90" t="str">
        <f>"EPS - "&amp;Profile!$U$7</f>
        <v>EPS - 2019E</v>
      </c>
      <c r="C23" s="91">
        <f>Profile!$U$8</f>
        <v>11.4771</v>
      </c>
      <c r="D23" s="28"/>
      <c r="E23" s="86" t="s">
        <v>32</v>
      </c>
      <c r="F23" s="87"/>
      <c r="G23" s="88">
        <f>((1*(1+AB15)*(1+AB14)*(1+AB13)*(1+AB12)*(1+AB11))^(1/5))-1</f>
        <v>8.0491047545657723E-2</v>
      </c>
      <c r="H23" s="89">
        <f>AB11</f>
        <v>0.1288</v>
      </c>
      <c r="I23" s="29"/>
      <c r="J23" s="50"/>
      <c r="K23" s="51"/>
      <c r="L23" s="49"/>
      <c r="M23" s="7"/>
      <c r="N23" s="9"/>
      <c r="O23" s="14"/>
      <c r="U23" s="6"/>
      <c r="V23" s="6"/>
      <c r="W23" s="6"/>
      <c r="X23" s="6"/>
      <c r="Y23" s="6"/>
      <c r="Z23" s="6"/>
      <c r="AA23" s="6"/>
      <c r="AB23" s="6"/>
      <c r="AC23" s="6"/>
      <c r="AD23" s="6"/>
      <c r="AE23" s="6"/>
    </row>
    <row r="24" spans="1:39" ht="21.9" customHeight="1" x14ac:dyDescent="0.35">
      <c r="B24" s="42" t="str">
        <f>"EPS - "&amp;Profile!$V$7</f>
        <v>EPS - 2020E</v>
      </c>
      <c r="C24" s="43">
        <f>Profile!$V$8</f>
        <v>12.722099999999999</v>
      </c>
      <c r="D24" s="27"/>
      <c r="E24" s="82" t="s">
        <v>31</v>
      </c>
      <c r="F24" s="83"/>
      <c r="G24" s="84">
        <f>((1*(1+AC15)*(1+AC14)*(1+AC13)*(1+AC12)*(1+AC11))^(1/5))-1</f>
        <v>7.7679853945890942E-2</v>
      </c>
      <c r="H24" s="85">
        <f>AC11</f>
        <v>0.13750000000000001</v>
      </c>
      <c r="I24" s="29"/>
      <c r="J24" s="28"/>
      <c r="K24" s="16"/>
      <c r="L24" s="7"/>
      <c r="M24" s="7"/>
      <c r="N24" s="9"/>
      <c r="O24" s="14"/>
      <c r="U24" s="6"/>
      <c r="V24" s="6"/>
      <c r="W24" s="6"/>
      <c r="X24" s="6"/>
      <c r="Y24" s="6"/>
      <c r="Z24" s="6"/>
      <c r="AA24" s="6"/>
      <c r="AB24" s="6"/>
      <c r="AC24" s="6"/>
      <c r="AD24" s="6"/>
      <c r="AE24" s="6"/>
    </row>
    <row r="25" spans="1:39" s="8" customFormat="1" ht="21.9" customHeight="1" x14ac:dyDescent="0.35">
      <c r="A25" s="18"/>
      <c r="B25" s="90" t="s">
        <v>49</v>
      </c>
      <c r="C25" s="100">
        <f>[1]!IntrinioDataPoint(ticker,"long_term_growth_rate")</f>
        <v>0.1</v>
      </c>
      <c r="D25" s="27"/>
      <c r="E25" s="86" t="s">
        <v>133</v>
      </c>
      <c r="F25" s="87"/>
      <c r="G25" s="88">
        <f>((1*(1+AD15)*(1+AD14)*(1+AD13)*(1+AD12)*(1+AD11))^(1/5))-1</f>
        <v>9.9575795435503878E-2</v>
      </c>
      <c r="H25" s="89">
        <f>AD11</f>
        <v>0.23119999999999999</v>
      </c>
      <c r="I25" s="29"/>
      <c r="J25" s="28"/>
      <c r="K25" s="17"/>
      <c r="L25" s="7"/>
      <c r="M25" s="7"/>
      <c r="N25" s="9"/>
      <c r="O25" s="14"/>
      <c r="P25"/>
      <c r="Q25"/>
      <c r="R25"/>
      <c r="S25"/>
      <c r="T25"/>
      <c r="U25" s="6"/>
      <c r="V25" s="6"/>
      <c r="W25" s="6"/>
      <c r="X25" s="6"/>
      <c r="Y25" s="6"/>
      <c r="Z25" s="6"/>
      <c r="AA25" s="6"/>
      <c r="AB25" s="6"/>
      <c r="AC25" s="6"/>
      <c r="AD25" s="6"/>
      <c r="AE25" s="6"/>
      <c r="AF25"/>
      <c r="AG25"/>
      <c r="AH25"/>
      <c r="AI25"/>
      <c r="AJ25"/>
      <c r="AK25"/>
      <c r="AL25"/>
      <c r="AM25"/>
    </row>
    <row r="26" spans="1:39" ht="21.9" customHeight="1" x14ac:dyDescent="0.35">
      <c r="B26" s="42" t="s">
        <v>21</v>
      </c>
      <c r="C26" s="43">
        <f>[1]!IntrinioDataPoint(ticker,"analyst_target_price")</f>
        <v>222.5</v>
      </c>
      <c r="D26" s="27"/>
      <c r="E26" s="82" t="s">
        <v>74</v>
      </c>
      <c r="F26" s="83"/>
      <c r="G26" s="84">
        <f>((1*(1+AE15)*(1+AE14)*(1+AE13)*(1+AE12)*(1+AE11))^(1/5))-1</f>
        <v>0.15963252754208712</v>
      </c>
      <c r="H26" s="85">
        <f>AE11</f>
        <v>0.29320000000000002</v>
      </c>
      <c r="I26" s="28"/>
      <c r="J26" s="28"/>
      <c r="N26" s="9"/>
      <c r="O26" s="14"/>
      <c r="U26" s="6"/>
      <c r="V26" s="6"/>
      <c r="W26" s="6"/>
      <c r="X26" s="6"/>
      <c r="Y26" s="6"/>
      <c r="Z26" s="6"/>
      <c r="AA26" s="6"/>
      <c r="AB26" s="6"/>
      <c r="AC26" s="6"/>
      <c r="AD26" s="6"/>
      <c r="AE26" s="6"/>
    </row>
    <row r="27" spans="1:39" ht="23.85" customHeight="1" x14ac:dyDescent="0.35">
      <c r="B27" s="28"/>
      <c r="C27" s="28"/>
      <c r="D27" s="27"/>
      <c r="E27" s="27"/>
      <c r="F27" s="28"/>
      <c r="G27" s="28"/>
      <c r="H27" s="28"/>
      <c r="I27" s="28"/>
      <c r="J27" s="28"/>
      <c r="N27" s="9"/>
      <c r="O27" s="14"/>
      <c r="U27" s="6"/>
      <c r="V27" s="6"/>
      <c r="W27" s="6"/>
      <c r="X27" s="6"/>
      <c r="Y27" s="6"/>
      <c r="Z27" s="6"/>
      <c r="AA27" s="6"/>
      <c r="AB27" s="6"/>
      <c r="AC27" s="6"/>
      <c r="AD27" s="6"/>
      <c r="AE27" s="6"/>
    </row>
    <row r="28" spans="1:39" ht="15.75" customHeight="1" x14ac:dyDescent="0.35">
      <c r="B28" s="27"/>
      <c r="C28" s="27"/>
      <c r="E28" s="27"/>
      <c r="F28" s="28"/>
      <c r="G28" s="28"/>
      <c r="H28" s="28"/>
      <c r="K28" s="20"/>
      <c r="N28" s="9"/>
      <c r="O28" s="14"/>
      <c r="U28" s="6"/>
      <c r="V28" s="6"/>
      <c r="W28" s="6"/>
      <c r="X28" s="6"/>
      <c r="Y28" s="6"/>
      <c r="Z28" s="6"/>
      <c r="AA28" s="6"/>
      <c r="AB28" s="6"/>
      <c r="AC28" s="6"/>
      <c r="AD28" s="6"/>
      <c r="AE28" s="6"/>
    </row>
    <row r="29" spans="1:39" ht="16.2" x14ac:dyDescent="0.35">
      <c r="B29" s="27"/>
      <c r="C29" s="27"/>
      <c r="G29" s="3"/>
      <c r="H29" s="3"/>
      <c r="K29" s="20"/>
      <c r="N29" s="9"/>
      <c r="O29" s="14"/>
      <c r="U29" s="6"/>
      <c r="V29" s="6"/>
      <c r="W29" s="6"/>
      <c r="X29" s="6"/>
      <c r="Y29" s="6"/>
      <c r="Z29" s="6"/>
      <c r="AA29" s="6"/>
      <c r="AB29" s="6"/>
      <c r="AC29" s="6"/>
      <c r="AD29" s="6"/>
      <c r="AE29" s="6"/>
    </row>
    <row r="30" spans="1:39" ht="16.2" x14ac:dyDescent="0.35">
      <c r="B30" s="27"/>
      <c r="C30" s="27"/>
      <c r="G30" s="3"/>
      <c r="H30" s="3"/>
      <c r="K30" s="20"/>
      <c r="N30" s="9"/>
      <c r="O30" s="14"/>
      <c r="U30" s="6"/>
      <c r="V30" s="6"/>
      <c r="W30" s="6"/>
      <c r="X30" s="6"/>
      <c r="Y30" s="6"/>
      <c r="Z30" s="6"/>
      <c r="AA30" s="6"/>
      <c r="AB30" s="6"/>
      <c r="AC30" s="6"/>
      <c r="AD30" s="6"/>
      <c r="AE30" s="6"/>
    </row>
    <row r="31" spans="1:39" s="8" customFormat="1" x14ac:dyDescent="0.3">
      <c r="A31" s="18"/>
      <c r="B31"/>
      <c r="C31"/>
      <c r="E31"/>
      <c r="F31"/>
      <c r="G31" s="3"/>
      <c r="H31" s="3"/>
      <c r="I31"/>
      <c r="J31"/>
      <c r="K31" s="20"/>
      <c r="N31" s="9"/>
      <c r="O31" s="14"/>
      <c r="P31"/>
      <c r="Q31"/>
      <c r="R31"/>
      <c r="S31"/>
      <c r="T31"/>
      <c r="U31" s="6"/>
      <c r="V31" s="6"/>
      <c r="W31" s="6"/>
      <c r="X31" s="6"/>
      <c r="Y31" s="6"/>
      <c r="Z31" s="6"/>
      <c r="AA31" s="6"/>
      <c r="AB31" s="6"/>
      <c r="AC31" s="6"/>
      <c r="AD31" s="6"/>
      <c r="AE31" s="6"/>
      <c r="AF31"/>
      <c r="AG31"/>
      <c r="AH31"/>
      <c r="AI31"/>
      <c r="AJ31"/>
      <c r="AK31"/>
      <c r="AL31"/>
      <c r="AM31"/>
    </row>
    <row r="32" spans="1:39" x14ac:dyDescent="0.3">
      <c r="G32" s="3"/>
      <c r="H32" s="3"/>
      <c r="K32" s="20"/>
      <c r="N32" s="9"/>
      <c r="O32" s="4"/>
      <c r="U32" s="6"/>
      <c r="V32" s="6"/>
      <c r="W32" s="6"/>
      <c r="X32" s="6"/>
      <c r="Y32" s="6"/>
      <c r="Z32" s="6"/>
      <c r="AA32" s="6"/>
      <c r="AB32" s="6"/>
      <c r="AC32" s="6"/>
      <c r="AD32" s="6"/>
      <c r="AE32" s="6"/>
    </row>
    <row r="33" spans="2:31" x14ac:dyDescent="0.3">
      <c r="G33" s="3"/>
      <c r="H33" s="3"/>
      <c r="I33" s="8"/>
      <c r="J33" s="8"/>
      <c r="N33" s="9"/>
      <c r="O33" s="4"/>
      <c r="U33" s="6"/>
      <c r="V33" s="6"/>
      <c r="W33" s="6"/>
      <c r="X33" s="6"/>
      <c r="Y33" s="6"/>
      <c r="Z33" s="6"/>
      <c r="AA33" s="6"/>
      <c r="AB33" s="6"/>
      <c r="AC33" s="6"/>
      <c r="AD33" s="6"/>
      <c r="AE33" s="6"/>
    </row>
    <row r="34" spans="2:31" x14ac:dyDescent="0.3">
      <c r="E34" s="8"/>
      <c r="F34" s="8"/>
      <c r="G34" s="3"/>
      <c r="H34" s="3"/>
      <c r="K34" s="19"/>
      <c r="N34" s="9"/>
      <c r="O34" s="4"/>
      <c r="U34" s="6"/>
      <c r="V34" s="6"/>
      <c r="W34" s="6"/>
      <c r="X34" s="6"/>
      <c r="Y34" s="6"/>
      <c r="Z34" s="6"/>
      <c r="AA34" s="6"/>
      <c r="AB34" s="6"/>
      <c r="AC34" s="6"/>
      <c r="AD34" s="6"/>
      <c r="AE34" s="6"/>
    </row>
    <row r="35" spans="2:31" x14ac:dyDescent="0.3">
      <c r="B35" s="8"/>
      <c r="C35" s="8"/>
      <c r="G35" s="3"/>
      <c r="H35" s="3"/>
      <c r="N35" s="9"/>
      <c r="O35" s="4"/>
      <c r="U35" s="6"/>
      <c r="V35" s="6"/>
      <c r="W35" s="6"/>
      <c r="X35" s="6"/>
      <c r="Y35" s="6"/>
      <c r="Z35" s="6"/>
      <c r="AA35" s="6"/>
      <c r="AB35" s="6"/>
      <c r="AC35" s="6"/>
      <c r="AD35" s="6"/>
      <c r="AE35" s="6"/>
    </row>
    <row r="36" spans="2:31" x14ac:dyDescent="0.3">
      <c r="G36" s="3"/>
      <c r="H36" s="3"/>
      <c r="N36" s="9"/>
      <c r="O36" s="4"/>
      <c r="U36" s="6"/>
      <c r="V36" s="6"/>
      <c r="W36" s="6"/>
      <c r="X36" s="6"/>
      <c r="Y36" s="6"/>
      <c r="Z36" s="6"/>
      <c r="AA36" s="6"/>
      <c r="AB36" s="6"/>
      <c r="AC36" s="6"/>
      <c r="AD36" s="6"/>
      <c r="AE36" s="6"/>
    </row>
    <row r="37" spans="2:31" x14ac:dyDescent="0.3">
      <c r="G37" s="3"/>
      <c r="H37" s="3"/>
      <c r="N37" s="9"/>
      <c r="O37" s="4"/>
      <c r="U37" s="6"/>
      <c r="V37" s="6"/>
      <c r="W37" s="6"/>
      <c r="X37" s="6"/>
      <c r="Y37" s="6"/>
      <c r="Z37" s="6"/>
      <c r="AA37" s="6"/>
      <c r="AB37" s="6"/>
      <c r="AC37" s="6"/>
      <c r="AD37" s="6"/>
      <c r="AE37" s="6"/>
    </row>
    <row r="38" spans="2:31" x14ac:dyDescent="0.3">
      <c r="G38" s="3"/>
      <c r="H38" s="3"/>
      <c r="N38" s="9"/>
      <c r="O38" s="4"/>
      <c r="U38" s="6"/>
      <c r="V38" s="6"/>
      <c r="W38" s="6"/>
      <c r="X38" s="6"/>
      <c r="Y38" s="6"/>
      <c r="Z38" s="6"/>
      <c r="AA38" s="6"/>
      <c r="AB38" s="6"/>
      <c r="AC38" s="6"/>
      <c r="AD38" s="6"/>
      <c r="AE38" s="6"/>
    </row>
    <row r="39" spans="2:31" x14ac:dyDescent="0.3">
      <c r="G39" s="3"/>
      <c r="H39" s="3"/>
      <c r="N39" s="9"/>
      <c r="O39" s="4"/>
      <c r="U39" s="6"/>
      <c r="V39" s="6"/>
      <c r="W39" s="6"/>
      <c r="X39" s="6"/>
      <c r="Y39" s="6"/>
      <c r="Z39" s="6"/>
      <c r="AA39" s="6"/>
      <c r="AB39" s="6"/>
      <c r="AC39" s="6"/>
      <c r="AD39" s="6"/>
      <c r="AE39" s="6"/>
    </row>
    <row r="40" spans="2:31" x14ac:dyDescent="0.3">
      <c r="G40" s="3"/>
      <c r="H40" s="3"/>
      <c r="N40" s="9"/>
      <c r="O40" s="4"/>
      <c r="U40" s="6"/>
      <c r="V40" s="6"/>
      <c r="W40" s="6"/>
      <c r="X40" s="6"/>
      <c r="Y40" s="6"/>
      <c r="Z40" s="6"/>
      <c r="AA40" s="6"/>
      <c r="AB40" s="6"/>
      <c r="AC40" s="6"/>
      <c r="AD40" s="6"/>
      <c r="AE40" s="6"/>
    </row>
    <row r="41" spans="2:31" x14ac:dyDescent="0.3">
      <c r="G41" s="3"/>
      <c r="H41" s="3"/>
      <c r="N41" s="9"/>
      <c r="O41" s="4"/>
      <c r="U41" s="6"/>
      <c r="V41" s="6"/>
      <c r="W41" s="6"/>
      <c r="X41" s="6"/>
      <c r="Y41" s="6"/>
      <c r="Z41" s="6"/>
      <c r="AA41" s="6"/>
      <c r="AB41" s="6"/>
      <c r="AC41" s="6"/>
      <c r="AD41" s="6"/>
      <c r="AE41" s="6"/>
    </row>
    <row r="42" spans="2:31" x14ac:dyDescent="0.3">
      <c r="G42" s="3"/>
      <c r="H42" s="3"/>
      <c r="N42" s="9"/>
      <c r="O42" s="4"/>
      <c r="U42" s="6"/>
      <c r="V42" s="6"/>
      <c r="W42" s="6"/>
      <c r="X42" s="6"/>
      <c r="Y42" s="6"/>
      <c r="Z42" s="6"/>
      <c r="AA42" s="6"/>
      <c r="AB42" s="6"/>
      <c r="AC42" s="6"/>
      <c r="AD42" s="6"/>
      <c r="AE42" s="6"/>
    </row>
    <row r="43" spans="2:31" x14ac:dyDescent="0.3">
      <c r="G43" s="3"/>
      <c r="H43" s="3"/>
      <c r="N43" s="9"/>
      <c r="O43" s="4"/>
      <c r="U43" s="6"/>
      <c r="V43" s="6"/>
      <c r="W43" s="6"/>
      <c r="X43" s="6"/>
      <c r="Y43" s="6"/>
      <c r="Z43" s="6"/>
      <c r="AA43" s="6"/>
      <c r="AB43" s="6"/>
      <c r="AC43" s="6"/>
      <c r="AD43" s="6"/>
      <c r="AE43" s="6"/>
    </row>
    <row r="44" spans="2:31" x14ac:dyDescent="0.3">
      <c r="G44" s="3"/>
      <c r="H44" s="3"/>
      <c r="N44" s="9"/>
      <c r="O44" s="4"/>
      <c r="U44" s="6"/>
      <c r="V44" s="6"/>
      <c r="W44" s="6"/>
      <c r="X44" s="6"/>
      <c r="Y44" s="6"/>
      <c r="Z44" s="6"/>
      <c r="AA44" s="6"/>
      <c r="AB44" s="6"/>
      <c r="AC44" s="6"/>
      <c r="AD44" s="6"/>
      <c r="AE44" s="6"/>
    </row>
    <row r="45" spans="2:31" x14ac:dyDescent="0.3">
      <c r="G45" s="3"/>
      <c r="H45" s="3"/>
      <c r="N45" s="9"/>
      <c r="O45" s="4"/>
      <c r="U45" s="6"/>
      <c r="V45" s="6"/>
      <c r="W45" s="6"/>
      <c r="X45" s="6"/>
      <c r="Y45" s="6"/>
      <c r="Z45" s="6"/>
      <c r="AA45" s="6"/>
      <c r="AB45" s="6"/>
      <c r="AC45" s="6"/>
      <c r="AD45" s="6"/>
      <c r="AE45" s="6"/>
    </row>
    <row r="46" spans="2:31" x14ac:dyDescent="0.3">
      <c r="N46" s="9"/>
      <c r="O46" s="4"/>
      <c r="U46" s="6"/>
      <c r="V46" s="6"/>
      <c r="W46" s="6"/>
      <c r="X46" s="6"/>
      <c r="Y46" s="6"/>
      <c r="Z46" s="6"/>
      <c r="AA46" s="6"/>
      <c r="AB46" s="6"/>
      <c r="AC46" s="6"/>
      <c r="AD46" s="6"/>
      <c r="AE46" s="6"/>
    </row>
    <row r="47" spans="2:31" x14ac:dyDescent="0.3">
      <c r="N47" s="9"/>
      <c r="O47" s="4"/>
      <c r="U47" s="6"/>
      <c r="V47" s="6"/>
      <c r="W47" s="6"/>
      <c r="X47" s="6"/>
      <c r="Y47" s="6"/>
      <c r="Z47" s="6"/>
      <c r="AA47" s="6"/>
      <c r="AB47" s="6"/>
      <c r="AC47" s="6"/>
      <c r="AD47" s="6"/>
      <c r="AE47" s="6"/>
    </row>
    <row r="48" spans="2:31" x14ac:dyDescent="0.3">
      <c r="N48" s="9"/>
      <c r="O48" s="4"/>
      <c r="U48" s="6"/>
      <c r="V48" s="6"/>
      <c r="W48" s="6"/>
      <c r="X48" s="6"/>
      <c r="Y48" s="6"/>
      <c r="Z48" s="6"/>
      <c r="AA48" s="6"/>
      <c r="AB48" s="6"/>
      <c r="AC48" s="6"/>
      <c r="AD48" s="6"/>
      <c r="AE48" s="6"/>
    </row>
    <row r="49" spans="14:31" x14ac:dyDescent="0.3">
      <c r="N49" s="9"/>
      <c r="O49" s="4"/>
      <c r="U49" s="6"/>
      <c r="V49" s="6"/>
      <c r="W49" s="6"/>
      <c r="X49" s="6"/>
      <c r="Y49" s="6"/>
      <c r="Z49" s="6"/>
      <c r="AA49" s="6"/>
      <c r="AB49" s="6"/>
      <c r="AC49" s="6"/>
      <c r="AD49" s="6"/>
      <c r="AE49" s="6"/>
    </row>
    <row r="50" spans="14:31" x14ac:dyDescent="0.3">
      <c r="N50" s="9"/>
      <c r="O50" s="4"/>
      <c r="U50" s="4"/>
      <c r="V50" s="10"/>
      <c r="W50" s="4"/>
      <c r="AA50" s="6"/>
      <c r="AB50" s="6"/>
      <c r="AC50" s="6"/>
      <c r="AD50" s="6"/>
      <c r="AE50" s="6"/>
    </row>
    <row r="51" spans="14:31" x14ac:dyDescent="0.3">
      <c r="N51" s="9"/>
      <c r="O51" s="4"/>
      <c r="U51" s="4"/>
      <c r="V51" s="10"/>
      <c r="W51" s="4"/>
      <c r="AA51" s="6"/>
      <c r="AB51" s="6"/>
      <c r="AC51" s="6"/>
      <c r="AD51" s="6"/>
      <c r="AE51" s="6"/>
    </row>
    <row r="52" spans="14:31" x14ac:dyDescent="0.3">
      <c r="N52" s="9"/>
      <c r="O52" s="4"/>
      <c r="U52" s="4"/>
      <c r="V52" s="10"/>
      <c r="W52" s="4"/>
      <c r="AA52" s="6"/>
      <c r="AB52" s="6"/>
      <c r="AC52" s="6"/>
      <c r="AD52" s="6"/>
      <c r="AE52" s="6"/>
    </row>
    <row r="53" spans="14:31" x14ac:dyDescent="0.3">
      <c r="N53" s="9"/>
      <c r="O53" s="4"/>
      <c r="U53" s="4"/>
      <c r="V53" s="10"/>
      <c r="W53" s="4"/>
      <c r="AA53" s="6"/>
      <c r="AB53" s="6"/>
      <c r="AC53" s="6"/>
      <c r="AD53" s="6"/>
      <c r="AE53" s="6"/>
    </row>
    <row r="54" spans="14:31" x14ac:dyDescent="0.3">
      <c r="N54" s="9"/>
      <c r="O54" s="4"/>
      <c r="U54" s="4"/>
      <c r="V54" s="10"/>
      <c r="W54" s="4"/>
      <c r="AA54" s="6"/>
      <c r="AB54" s="6"/>
      <c r="AC54" s="6"/>
      <c r="AD54" s="6"/>
      <c r="AE54" s="6"/>
    </row>
    <row r="55" spans="14:31" x14ac:dyDescent="0.3">
      <c r="N55" s="9"/>
      <c r="O55" s="4"/>
      <c r="U55" s="4"/>
      <c r="V55" s="10"/>
      <c r="W55" s="4"/>
      <c r="AA55" s="6"/>
      <c r="AB55" s="6"/>
      <c r="AC55" s="6"/>
      <c r="AD55" s="6"/>
      <c r="AE55" s="6"/>
    </row>
    <row r="56" spans="14:31" x14ac:dyDescent="0.3">
      <c r="N56" s="9"/>
      <c r="O56" s="4"/>
      <c r="U56" s="4"/>
      <c r="V56" s="10"/>
      <c r="W56" s="4"/>
      <c r="AA56" s="6"/>
      <c r="AB56" s="6"/>
      <c r="AC56" s="6"/>
      <c r="AD56" s="6"/>
      <c r="AE56" s="6"/>
    </row>
    <row r="57" spans="14:31" x14ac:dyDescent="0.3">
      <c r="N57" s="9"/>
      <c r="O57" s="4"/>
      <c r="U57" s="4"/>
      <c r="V57" s="10"/>
      <c r="W57" s="4"/>
      <c r="AA57" s="6"/>
      <c r="AB57" s="6"/>
      <c r="AC57" s="6"/>
      <c r="AD57" s="6"/>
      <c r="AE57" s="6"/>
    </row>
    <row r="58" spans="14:31" x14ac:dyDescent="0.3">
      <c r="N58" s="9"/>
      <c r="O58" s="4"/>
      <c r="U58" s="4"/>
      <c r="V58" s="10"/>
      <c r="W58" s="4"/>
      <c r="AA58" s="6"/>
      <c r="AB58" s="6"/>
      <c r="AC58" s="6"/>
      <c r="AD58" s="6"/>
      <c r="AE58" s="6"/>
    </row>
    <row r="59" spans="14:31" x14ac:dyDescent="0.3">
      <c r="N59" s="9"/>
      <c r="O59" s="4"/>
      <c r="U59" s="4"/>
      <c r="V59" s="10"/>
      <c r="W59" s="4"/>
      <c r="AA59" s="6"/>
      <c r="AB59" s="6"/>
      <c r="AC59" s="6"/>
      <c r="AD59" s="6"/>
      <c r="AE59" s="6"/>
    </row>
    <row r="60" spans="14:31" x14ac:dyDescent="0.3">
      <c r="N60" s="9"/>
      <c r="O60" s="4"/>
      <c r="U60" s="4"/>
      <c r="V60" s="10"/>
      <c r="W60" s="4"/>
      <c r="AA60" s="6"/>
      <c r="AB60" s="6"/>
      <c r="AC60" s="6"/>
      <c r="AD60" s="6"/>
      <c r="AE60" s="6"/>
    </row>
    <row r="61" spans="14:31" x14ac:dyDescent="0.3">
      <c r="N61" s="9"/>
      <c r="O61" s="4"/>
      <c r="U61" s="4"/>
      <c r="V61" s="10"/>
      <c r="W61" s="4"/>
      <c r="AA61" s="6"/>
      <c r="AB61" s="6"/>
      <c r="AC61" s="6"/>
      <c r="AD61" s="6"/>
      <c r="AE61" s="6"/>
    </row>
    <row r="62" spans="14:31" x14ac:dyDescent="0.3">
      <c r="N62" s="9"/>
      <c r="O62" s="4"/>
      <c r="U62" s="4"/>
      <c r="V62" s="10"/>
      <c r="W62" s="4"/>
      <c r="AA62" s="6"/>
      <c r="AB62" s="6"/>
      <c r="AC62" s="6"/>
      <c r="AD62" s="6"/>
      <c r="AE62" s="6"/>
    </row>
    <row r="63" spans="14:31" x14ac:dyDescent="0.3">
      <c r="N63" s="9"/>
      <c r="O63" s="4"/>
      <c r="U63" s="4"/>
      <c r="V63" s="10"/>
      <c r="W63" s="4"/>
      <c r="AA63" s="6"/>
      <c r="AB63" s="6"/>
      <c r="AC63" s="6"/>
      <c r="AD63" s="6"/>
      <c r="AE63" s="6"/>
    </row>
    <row r="64" spans="14:31" x14ac:dyDescent="0.3">
      <c r="N64" s="9"/>
      <c r="O64" s="4"/>
      <c r="U64" s="4"/>
      <c r="V64" s="10"/>
      <c r="W64" s="4"/>
      <c r="AA64" s="6"/>
      <c r="AB64" s="6"/>
      <c r="AC64" s="6"/>
      <c r="AD64" s="6"/>
      <c r="AE64" s="6"/>
    </row>
    <row r="65" spans="14:31" x14ac:dyDescent="0.3">
      <c r="N65" s="9"/>
      <c r="O65" s="4"/>
      <c r="U65" s="4"/>
      <c r="V65" s="10"/>
      <c r="W65" s="4"/>
      <c r="AA65" s="6"/>
      <c r="AB65" s="6"/>
      <c r="AC65" s="6"/>
      <c r="AD65" s="6"/>
      <c r="AE65" s="6"/>
    </row>
    <row r="66" spans="14:31" x14ac:dyDescent="0.3">
      <c r="N66" s="9"/>
      <c r="O66" s="4"/>
      <c r="U66" s="4"/>
      <c r="V66" s="10"/>
      <c r="W66" s="4"/>
      <c r="AA66" s="6"/>
      <c r="AB66" s="6"/>
      <c r="AC66" s="6"/>
      <c r="AD66" s="6"/>
      <c r="AE66" s="6"/>
    </row>
    <row r="67" spans="14:31" x14ac:dyDescent="0.3">
      <c r="N67" s="9"/>
      <c r="O67" s="4"/>
      <c r="U67" s="4"/>
      <c r="V67" s="10"/>
      <c r="W67" s="4"/>
      <c r="AA67" s="6"/>
      <c r="AB67" s="6"/>
      <c r="AC67" s="6"/>
      <c r="AD67" s="6"/>
      <c r="AE67" s="6"/>
    </row>
    <row r="68" spans="14:31" x14ac:dyDescent="0.3">
      <c r="N68" s="9"/>
      <c r="O68" s="4"/>
      <c r="U68" s="4"/>
      <c r="V68" s="10"/>
      <c r="W68" s="4"/>
      <c r="AA68" s="6"/>
      <c r="AB68" s="6"/>
      <c r="AC68" s="6"/>
      <c r="AD68" s="6"/>
      <c r="AE68" s="6"/>
    </row>
    <row r="69" spans="14:31" x14ac:dyDescent="0.3">
      <c r="N69" s="9"/>
      <c r="O69" s="4"/>
      <c r="U69" s="4"/>
      <c r="V69" s="10"/>
      <c r="W69" s="4"/>
      <c r="AA69" s="6"/>
      <c r="AB69" s="6"/>
      <c r="AC69" s="6"/>
      <c r="AD69" s="6"/>
      <c r="AE69" s="6"/>
    </row>
    <row r="70" spans="14:31" x14ac:dyDescent="0.3">
      <c r="N70" s="9"/>
      <c r="O70" s="4"/>
      <c r="U70" s="4"/>
      <c r="V70" s="10"/>
      <c r="W70" s="4"/>
      <c r="AA70" s="6"/>
      <c r="AB70" s="6"/>
      <c r="AC70" s="6"/>
      <c r="AD70" s="6"/>
      <c r="AE70" s="6"/>
    </row>
    <row r="71" spans="14:31" x14ac:dyDescent="0.3">
      <c r="N71" s="9"/>
      <c r="O71" s="4"/>
      <c r="U71" s="4"/>
      <c r="V71" s="10"/>
      <c r="W71" s="4"/>
      <c r="AA71" s="6"/>
      <c r="AB71" s="6"/>
      <c r="AC71" s="6"/>
      <c r="AD71" s="6"/>
      <c r="AE71" s="6"/>
    </row>
    <row r="72" spans="14:31" x14ac:dyDescent="0.3">
      <c r="N72" s="3"/>
      <c r="O72" s="5"/>
      <c r="U72" s="4"/>
    </row>
    <row r="73" spans="14:31" x14ac:dyDescent="0.3">
      <c r="N73" s="15"/>
      <c r="Y73" s="3"/>
      <c r="Z73" s="3"/>
      <c r="AA73" s="3"/>
      <c r="AB73" s="3"/>
      <c r="AC73" s="3"/>
      <c r="AD73" s="3"/>
      <c r="AE73" s="3"/>
    </row>
    <row r="74" spans="14:31" x14ac:dyDescent="0.3">
      <c r="N74" s="15"/>
      <c r="Y74" s="3"/>
      <c r="Z74" s="3"/>
      <c r="AA74" s="3"/>
      <c r="AB74" s="3"/>
      <c r="AC74" s="3"/>
      <c r="AD74" s="3"/>
      <c r="AE74" s="3"/>
    </row>
    <row r="75" spans="14:31" x14ac:dyDescent="0.3">
      <c r="N75" s="3"/>
      <c r="Y75" s="3"/>
      <c r="Z75" s="3"/>
      <c r="AA75" s="3"/>
      <c r="AB75" s="3"/>
      <c r="AC75" s="3"/>
      <c r="AD75" s="3"/>
      <c r="AE75" s="3"/>
    </row>
    <row r="76" spans="14:31" x14ac:dyDescent="0.3">
      <c r="N76" s="3"/>
      <c r="Y76" s="3"/>
      <c r="Z76" s="3"/>
      <c r="AA76" s="3"/>
      <c r="AB76" s="3"/>
      <c r="AC76" s="3"/>
      <c r="AD76" s="3"/>
      <c r="AE76" s="3"/>
    </row>
    <row r="77" spans="14:31" x14ac:dyDescent="0.3">
      <c r="N77" s="3"/>
      <c r="O77" s="3"/>
      <c r="P77" s="3"/>
      <c r="Q77" s="3"/>
      <c r="R77" s="3"/>
      <c r="S77" s="3"/>
      <c r="T77" s="3"/>
      <c r="U77" s="3"/>
      <c r="V77" s="3"/>
      <c r="W77" s="3"/>
      <c r="X77" s="3"/>
      <c r="Y77" s="3"/>
      <c r="Z77" s="3"/>
      <c r="AA77" s="3"/>
      <c r="AB77" s="3"/>
      <c r="AC77" s="3"/>
      <c r="AD77" s="3"/>
      <c r="AE77" s="3"/>
    </row>
    <row r="78" spans="14:31" x14ac:dyDescent="0.3">
      <c r="N78" s="13"/>
      <c r="O78" s="13"/>
      <c r="P78" s="13"/>
      <c r="Q78" s="13"/>
      <c r="R78" s="13"/>
      <c r="S78" s="13"/>
      <c r="T78" s="13"/>
      <c r="U78" s="13"/>
      <c r="V78" s="13"/>
      <c r="W78" s="13"/>
      <c r="X78" s="13"/>
      <c r="Y78" s="13"/>
      <c r="Z78" s="13"/>
      <c r="AA78" s="13"/>
      <c r="AB78" s="13"/>
      <c r="AC78" s="13"/>
      <c r="AD78" s="13"/>
      <c r="AE78" s="13"/>
    </row>
    <row r="79" spans="14:31" x14ac:dyDescent="0.3">
      <c r="N79" s="13"/>
      <c r="O79" s="13"/>
      <c r="P79" s="13"/>
      <c r="Q79" s="13"/>
      <c r="R79" s="13"/>
      <c r="S79" s="13"/>
      <c r="T79" s="13"/>
      <c r="U79" s="13"/>
      <c r="V79" s="13"/>
      <c r="W79" s="13"/>
      <c r="X79" s="13"/>
      <c r="Y79" s="13"/>
      <c r="Z79" s="13"/>
      <c r="AA79" s="13"/>
      <c r="AB79" s="13"/>
      <c r="AC79" s="13"/>
      <c r="AD79" s="13"/>
      <c r="AE79" s="13"/>
    </row>
    <row r="80" spans="14:31" x14ac:dyDescent="0.3">
      <c r="N80" s="3"/>
      <c r="Y80" s="3"/>
      <c r="Z80" s="3"/>
      <c r="AA80" s="3"/>
      <c r="AB80" s="3"/>
      <c r="AC80" s="3"/>
      <c r="AD80" s="3"/>
      <c r="AE80" s="3"/>
    </row>
    <row r="81" spans="14:31" x14ac:dyDescent="0.3">
      <c r="N81" s="3"/>
      <c r="Y81" s="3"/>
      <c r="Z81" s="3"/>
      <c r="AA81" s="3"/>
      <c r="AB81" s="3"/>
      <c r="AC81" s="3"/>
      <c r="AD81" s="3"/>
      <c r="AE81" s="3"/>
    </row>
    <row r="82" spans="14:31" x14ac:dyDescent="0.3">
      <c r="N82" s="3"/>
      <c r="Y82" s="3"/>
      <c r="Z82" s="3"/>
      <c r="AA82" s="3"/>
      <c r="AB82" s="3"/>
      <c r="AC82" s="3"/>
      <c r="AD82" s="3"/>
      <c r="AE82" s="3"/>
    </row>
    <row r="83" spans="14:31" x14ac:dyDescent="0.3">
      <c r="N83" s="3"/>
      <c r="Y83" s="3"/>
      <c r="Z83" s="3"/>
      <c r="AA83" s="3"/>
      <c r="AB83" s="3"/>
      <c r="AC83" s="3"/>
      <c r="AD83" s="3"/>
      <c r="AE83" s="3"/>
    </row>
    <row r="84" spans="14:31" x14ac:dyDescent="0.3">
      <c r="N84" s="3"/>
      <c r="Y84" s="3"/>
      <c r="Z84" s="3"/>
      <c r="AA84" s="3"/>
      <c r="AB84" s="3"/>
      <c r="AC84" s="3"/>
      <c r="AD84" s="3"/>
      <c r="AE84" s="3"/>
    </row>
    <row r="85" spans="14:31" x14ac:dyDescent="0.3">
      <c r="N85" s="3"/>
      <c r="Y85" s="3"/>
      <c r="Z85" s="3"/>
      <c r="AA85" s="3"/>
      <c r="AB85" s="3"/>
      <c r="AC85" s="3"/>
      <c r="AD85" s="3"/>
      <c r="AE85" s="3"/>
    </row>
    <row r="86" spans="14:31" x14ac:dyDescent="0.3">
      <c r="N86" s="3"/>
      <c r="Y86" s="3"/>
      <c r="Z86" s="3"/>
      <c r="AA86" s="3"/>
      <c r="AB86" s="3"/>
      <c r="AC86" s="3"/>
      <c r="AD86" s="3"/>
      <c r="AE86" s="3"/>
    </row>
    <row r="87" spans="14:31" x14ac:dyDescent="0.3">
      <c r="N87" s="3"/>
      <c r="Y87" s="3"/>
      <c r="Z87" s="3"/>
      <c r="AA87" s="3"/>
      <c r="AB87" s="3"/>
      <c r="AC87" s="3"/>
      <c r="AD87" s="3"/>
      <c r="AE87" s="3"/>
    </row>
    <row r="88" spans="14:31" x14ac:dyDescent="0.3">
      <c r="N88" s="3"/>
      <c r="Y88" s="3"/>
      <c r="Z88" s="3"/>
      <c r="AA88" s="3"/>
      <c r="AB88" s="3"/>
      <c r="AC88" s="3"/>
      <c r="AD88" s="3"/>
      <c r="AE88" s="3"/>
    </row>
    <row r="89" spans="14:31" x14ac:dyDescent="0.3">
      <c r="N89" s="3"/>
      <c r="Y89" s="3"/>
      <c r="Z89" s="3"/>
      <c r="AA89" s="3"/>
      <c r="AB89" s="3"/>
      <c r="AC89" s="3"/>
      <c r="AD89" s="3"/>
      <c r="AE89" s="3"/>
    </row>
    <row r="90" spans="14:31" x14ac:dyDescent="0.3">
      <c r="N90" s="3"/>
      <c r="Y90" s="3"/>
      <c r="Z90" s="3"/>
      <c r="AA90" s="3"/>
      <c r="AB90" s="3"/>
      <c r="AC90" s="3"/>
      <c r="AD90" s="3"/>
      <c r="AE90" s="3"/>
    </row>
    <row r="91" spans="14:31" x14ac:dyDescent="0.3">
      <c r="N91" s="3"/>
      <c r="Y91" s="3"/>
      <c r="Z91" s="3"/>
      <c r="AA91" s="3"/>
      <c r="AB91" s="3"/>
      <c r="AC91" s="3"/>
      <c r="AD91" s="3"/>
      <c r="AE91" s="3"/>
    </row>
    <row r="92" spans="14:31" x14ac:dyDescent="0.3">
      <c r="N92" s="3"/>
      <c r="Y92" s="3"/>
      <c r="Z92" s="3"/>
      <c r="AA92" s="3"/>
      <c r="AB92" s="3"/>
      <c r="AC92" s="3"/>
      <c r="AD92" s="3"/>
      <c r="AE92" s="3"/>
    </row>
    <row r="93" spans="14:31" x14ac:dyDescent="0.3">
      <c r="N93" s="3"/>
      <c r="Y93" s="3"/>
      <c r="Z93" s="3"/>
      <c r="AA93" s="3"/>
      <c r="AB93" s="3"/>
      <c r="AC93" s="3"/>
      <c r="AD93" s="3"/>
      <c r="AE93" s="3"/>
    </row>
    <row r="94" spans="14:31" x14ac:dyDescent="0.3">
      <c r="N94" s="3"/>
      <c r="Y94" s="3"/>
      <c r="Z94" s="3"/>
      <c r="AA94" s="3"/>
      <c r="AB94" s="3"/>
      <c r="AC94" s="3"/>
      <c r="AD94" s="3"/>
      <c r="AE94" s="3"/>
    </row>
    <row r="95" spans="14:31" x14ac:dyDescent="0.3">
      <c r="N95" s="3"/>
      <c r="S95" s="3"/>
      <c r="Y95" s="3"/>
      <c r="Z95" s="3"/>
      <c r="AA95" s="3"/>
      <c r="AB95" s="3"/>
      <c r="AC95" s="3"/>
      <c r="AD95" s="3"/>
      <c r="AE95" s="3"/>
    </row>
    <row r="96" spans="14:31" x14ac:dyDescent="0.3">
      <c r="N96" s="3"/>
      <c r="S96" s="3"/>
      <c r="Y96" s="3"/>
      <c r="Z96" s="3"/>
      <c r="AA96" s="3"/>
      <c r="AB96" s="3"/>
      <c r="AC96" s="3"/>
      <c r="AD96" s="3"/>
      <c r="AE96" s="3"/>
    </row>
    <row r="97" spans="14:31" x14ac:dyDescent="0.3">
      <c r="N97" s="3"/>
      <c r="S97" s="3"/>
      <c r="Y97" s="3"/>
      <c r="Z97" s="3"/>
      <c r="AA97" s="3"/>
      <c r="AB97" s="3"/>
      <c r="AC97" s="3"/>
      <c r="AD97" s="3"/>
      <c r="AE97" s="3"/>
    </row>
    <row r="98" spans="14:31" x14ac:dyDescent="0.3">
      <c r="S98" s="3"/>
    </row>
    <row r="99" spans="14:31" x14ac:dyDescent="0.3">
      <c r="S99" s="3"/>
    </row>
    <row r="100" spans="14:31" x14ac:dyDescent="0.3">
      <c r="S100" s="3"/>
    </row>
    <row r="101" spans="14:31" x14ac:dyDescent="0.3">
      <c r="S101" s="3"/>
    </row>
    <row r="102" spans="14:31" x14ac:dyDescent="0.3">
      <c r="S102" s="3"/>
    </row>
    <row r="103" spans="14:31" x14ac:dyDescent="0.3">
      <c r="S103" s="3"/>
    </row>
    <row r="104" spans="14:31" x14ac:dyDescent="0.3">
      <c r="S104" s="3"/>
    </row>
    <row r="105" spans="14:31" x14ac:dyDescent="0.3">
      <c r="S105" s="3"/>
    </row>
    <row r="106" spans="14:31" x14ac:dyDescent="0.3">
      <c r="S106" s="3"/>
    </row>
    <row r="107" spans="14:31" x14ac:dyDescent="0.3">
      <c r="S107" s="3"/>
    </row>
    <row r="108" spans="14:31" x14ac:dyDescent="0.3">
      <c r="S108" s="3"/>
    </row>
  </sheetData>
  <mergeCells count="5">
    <mergeCell ref="E3:J3"/>
    <mergeCell ref="E12:H12"/>
    <mergeCell ref="E20:H20"/>
    <mergeCell ref="B17:C17"/>
    <mergeCell ref="B9:C9"/>
  </mergeCells>
  <conditionalFormatting sqref="K28:K30">
    <cfRule type="cellIs" dxfId="23" priority="1" operator="greaterThan">
      <formula>0</formula>
    </cfRule>
    <cfRule type="cellIs" dxfId="22" priority="2" operator="lessThan">
      <formula>0</formula>
    </cfRule>
  </conditionalFormatting>
  <pageMargins left="0.7" right="0.7" top="0.75" bottom="0.75" header="0.3" footer="0.3"/>
  <pageSetup scale="85" orientation="landscape" r:id="rId1"/>
  <headerFooter>
    <oddHeader>&amp;LApple Inc (AAPL)          $116.52&amp;RReport Date: 12/26/2016</oddHeader>
    <oddFooter>&amp;L&amp;G&amp;R&amp;P</oddFooter>
  </headerFooter>
  <legacyDrawingHF r:id="rId2"/>
  <extLst>
    <ext xmlns:x14="http://schemas.microsoft.com/office/spreadsheetml/2009/9/main" uri="{05C60535-1F16-4fd2-B633-F4F36F0B64E0}">
      <x14:sparklineGroups xmlns:xm="http://schemas.microsoft.com/office/excel/2006/main">
        <x14:sparklineGroup manualMax="0" manualMin="0" displayEmptyCellsAs="gap" displayXAxis="1" rightToLeft="1" xr2:uid="{00000000-0003-0000-0200-00000F000000}">
          <x14:colorSeries rgb="FF00B050"/>
          <x14:colorNegative rgb="FFFF0000"/>
          <x14:colorAxis rgb="FF000000"/>
          <x14:colorMarkers rgb="FF0070C0"/>
          <x14:colorFirst rgb="FFFFC000"/>
          <x14:colorLast rgb="FFFFC000"/>
          <x14:colorHigh rgb="FF00B050"/>
          <x14:colorLow rgb="FFFF0000"/>
          <x14:sparklines>
            <x14:sparkline>
              <xm:f>'Key Items'!Z11:Z16</xm:f>
              <xm:sqref>F18</xm:sqref>
            </x14:sparkline>
          </x14:sparklines>
        </x14:sparklineGroup>
        <x14:sparklineGroup manualMax="0" manualMin="0" displayEmptyCellsAs="gap" displayXAxis="1" rightToLeft="1" xr2:uid="{00000000-0003-0000-0200-00000E000000}">
          <x14:colorSeries rgb="FF00B050"/>
          <x14:colorNegative rgb="FFFF0000"/>
          <x14:colorAxis rgb="FF000000"/>
          <x14:colorMarkers rgb="FF0070C0"/>
          <x14:colorFirst rgb="FFFFC000"/>
          <x14:colorLast rgb="FFFFC000"/>
          <x14:colorHigh rgb="FF00B050"/>
          <x14:colorLow rgb="FFFF0000"/>
          <x14:sparklines>
            <x14:sparkline>
              <xm:f>'Key Items'!AE11:AE16</xm:f>
              <xm:sqref>F26</xm:sqref>
            </x14:sparkline>
          </x14:sparklines>
        </x14:sparklineGroup>
        <x14:sparklineGroup manualMax="0" manualMin="0" displayEmptyCellsAs="gap" displayXAxis="1" rightToLeft="1" xr2:uid="{00000000-0003-0000-0200-00000D000000}">
          <x14:colorSeries rgb="FF00B050"/>
          <x14:colorNegative rgb="FFFF0000"/>
          <x14:colorAxis rgb="FF000000"/>
          <x14:colorMarkers rgb="FF0070C0"/>
          <x14:colorFirst rgb="FFFFC000"/>
          <x14:colorLast rgb="FFFFC000"/>
          <x14:colorHigh rgb="FF00B050"/>
          <x14:colorLow rgb="FFFF0000"/>
          <x14:sparklines>
            <x14:sparkline>
              <xm:f>'Key Items'!AC11:AC16</xm:f>
              <xm:sqref>F24</xm:sqref>
            </x14:sparkline>
          </x14:sparklines>
        </x14:sparklineGroup>
        <x14:sparklineGroup manualMax="0" manualMin="0" displayEmptyCellsAs="gap" displayXAxis="1" rightToLeft="1" xr2:uid="{00000000-0003-0000-0200-00000C000000}">
          <x14:colorSeries rgb="FF00B050"/>
          <x14:colorNegative rgb="FFFF0000"/>
          <x14:colorAxis rgb="FF000000"/>
          <x14:colorMarkers rgb="FF0070C0"/>
          <x14:colorFirst rgb="FFFFC000"/>
          <x14:colorLast rgb="FFFFC000"/>
          <x14:colorHigh rgb="FF00B050"/>
          <x14:colorLow rgb="FFFF0000"/>
          <x14:sparklines>
            <x14:sparkline>
              <xm:f>'Key Items'!AB11:AB16</xm:f>
              <xm:sqref>F23</xm:sqref>
            </x14:sparkline>
          </x14:sparklines>
        </x14:sparklineGroup>
        <x14:sparklineGroup manualMax="0" manualMin="0" displayEmptyCellsAs="gap" displayXAxis="1" rightToLeft="1" xr2:uid="{00000000-0003-0000-0200-00000B000000}">
          <x14:colorSeries rgb="FF00B050"/>
          <x14:colorNegative rgb="FFFF0000"/>
          <x14:colorAxis rgb="FF000000"/>
          <x14:colorMarkers rgb="FF0070C0"/>
          <x14:colorFirst rgb="FFFFC000"/>
          <x14:colorLast rgb="FFFFC000"/>
          <x14:colorHigh rgb="FF00B050"/>
          <x14:colorLow rgb="FFFF0000"/>
          <x14:sparklines>
            <x14:sparkline>
              <xm:f>'Key Items'!AA11:AA16</xm:f>
              <xm:sqref>F22</xm:sqref>
            </x14:sparkline>
          </x14:sparklines>
        </x14:sparklineGroup>
        <x14:sparklineGroup manualMax="0" manualMin="0" displayEmptyCellsAs="gap" rightToLeft="1" xr2:uid="{00000000-0003-0000-0200-00000A000000}">
          <x14:colorSeries rgb="FF00B050"/>
          <x14:colorNegative rgb="FFFF0000"/>
          <x14:colorAxis rgb="FF000000"/>
          <x14:colorMarkers rgb="FF0070C0"/>
          <x14:colorFirst rgb="FFFFC000"/>
          <x14:colorLast rgb="FFFFC000"/>
          <x14:colorHigh rgb="FF00B050"/>
          <x14:colorLow rgb="FFFF0000"/>
          <x14:sparklines>
            <x14:sparkline>
              <xm:f>'Key Items'!O11:O16</xm:f>
              <xm:sqref>F5</xm:sqref>
            </x14:sparkline>
          </x14:sparklines>
        </x14:sparklineGroup>
        <x14:sparklineGroup manualMax="0" manualMin="0" displayEmptyCellsAs="gap" displayXAxis="1" rightToLeft="1" xr2:uid="{00000000-0003-0000-0200-000009000000}">
          <x14:colorSeries rgb="FF00B050"/>
          <x14:colorNegative rgb="FFFF0000"/>
          <x14:colorAxis rgb="FF000000"/>
          <x14:colorMarkers rgb="FF0070C0"/>
          <x14:colorFirst rgb="FFFFC000"/>
          <x14:colorLast rgb="FFFFC000"/>
          <x14:colorHigh rgb="FF00B050"/>
          <x14:colorLow rgb="FFFF0000"/>
          <x14:sparklines>
            <x14:sparkline>
              <xm:f>'Key Items'!U11:U16</xm:f>
              <xm:sqref>F14</xm:sqref>
            </x14:sparkline>
          </x14:sparklines>
        </x14:sparklineGroup>
        <x14:sparklineGroup manualMax="0" manualMin="0" displayEmptyCellsAs="gap" displayXAxis="1" rightToLeft="1" xr2:uid="{00000000-0003-0000-0200-000008000000}">
          <x14:colorSeries rgb="FF00B050"/>
          <x14:colorNegative rgb="FFFF0000"/>
          <x14:colorAxis rgb="FF000000"/>
          <x14:colorMarkers rgb="FF0070C0"/>
          <x14:colorFirst rgb="FFFFC000"/>
          <x14:colorLast rgb="FFFFC000"/>
          <x14:colorHigh rgb="FF00B050"/>
          <x14:colorLow rgb="FFFF0000"/>
          <x14:sparklines>
            <x14:sparkline>
              <xm:f>'Key Items'!V11:V16</xm:f>
              <xm:sqref>F15</xm:sqref>
            </x14:sparkline>
          </x14:sparklines>
        </x14:sparklineGroup>
        <x14:sparklineGroup manualMax="0" manualMin="0" displayEmptyCellsAs="gap" displayXAxis="1" rightToLeft="1" xr2:uid="{00000000-0003-0000-0200-000007000000}">
          <x14:colorSeries rgb="FF00B050"/>
          <x14:colorNegative rgb="FFFF0000"/>
          <x14:colorAxis rgb="FF000000"/>
          <x14:colorMarkers rgb="FF0070C0"/>
          <x14:colorFirst rgb="FFFFC000"/>
          <x14:colorLast rgb="FFFFC000"/>
          <x14:colorHigh rgb="FF00B050"/>
          <x14:colorLow rgb="FFFF0000"/>
          <x14:sparklines>
            <x14:sparkline>
              <xm:f>'Key Items'!W11:W16</xm:f>
              <xm:sqref>F16</xm:sqref>
            </x14:sparkline>
          </x14:sparklines>
        </x14:sparklineGroup>
        <x14:sparklineGroup manualMax="0" manualMin="0" displayEmptyCellsAs="gap" displayXAxis="1" rightToLeft="1" xr2:uid="{00000000-0003-0000-0200-000006000000}">
          <x14:colorSeries rgb="FF00B050"/>
          <x14:colorNegative rgb="FFFF0000"/>
          <x14:colorAxis rgb="FF000000"/>
          <x14:colorMarkers rgb="FF0070C0"/>
          <x14:colorFirst rgb="FFFFC000"/>
          <x14:colorLast rgb="FFFFC000"/>
          <x14:colorHigh rgb="FF00B050"/>
          <x14:colorLow rgb="FFFF0000"/>
          <x14:sparklines>
            <x14:sparkline>
              <xm:f>'Key Items'!Y11:Y16</xm:f>
              <xm:sqref>F17</xm:sqref>
            </x14:sparkline>
          </x14:sparklines>
        </x14:sparklineGroup>
        <x14:sparklineGroup manualMax="0" manualMin="0" displayEmptyCellsAs="gap" rightToLeft="1" xr2:uid="{00000000-0003-0000-0200-000005000000}">
          <x14:colorSeries rgb="FF00B050"/>
          <x14:colorNegative rgb="FFFF0000"/>
          <x14:colorAxis rgb="FF000000"/>
          <x14:colorMarkers rgb="FF0070C0"/>
          <x14:colorFirst rgb="FFFFC000"/>
          <x14:colorLast rgb="FFFFC000"/>
          <x14:colorHigh rgb="FF00B050"/>
          <x14:colorLow rgb="FFFF0000"/>
          <x14:sparklines>
            <x14:sparkline>
              <xm:f>'Key Items'!P11:P16</xm:f>
              <xm:sqref>F6</xm:sqref>
            </x14:sparkline>
          </x14:sparklines>
        </x14:sparklineGroup>
        <x14:sparklineGroup manualMax="0" manualMin="0" displayEmptyCellsAs="gap" rightToLeft="1" xr2:uid="{00000000-0003-0000-0200-000004000000}">
          <x14:colorSeries rgb="FF00B050"/>
          <x14:colorNegative rgb="FFFF0000"/>
          <x14:colorAxis rgb="FF000000"/>
          <x14:colorMarkers rgb="FF0070C0"/>
          <x14:colorFirst rgb="FFFFC000"/>
          <x14:colorLast rgb="FFFFC000"/>
          <x14:colorHigh rgb="FF00B050"/>
          <x14:colorLow rgb="FFFF0000"/>
          <x14:sparklines>
            <x14:sparkline>
              <xm:f>'Key Items'!Q11:Q16</xm:f>
              <xm:sqref>F7</xm:sqref>
            </x14:sparkline>
          </x14:sparklines>
        </x14:sparklineGroup>
        <x14:sparklineGroup manualMax="0" manualMin="0" displayEmptyCellsAs="gap" rightToLeft="1" xr2:uid="{00000000-0003-0000-0200-000003000000}">
          <x14:colorSeries rgb="FF00B050"/>
          <x14:colorNegative rgb="FFFF0000"/>
          <x14:colorAxis rgb="FF000000"/>
          <x14:colorMarkers rgb="FF0070C0"/>
          <x14:colorFirst rgb="FFFFC000"/>
          <x14:colorLast rgb="FFFFC000"/>
          <x14:colorHigh rgb="FF00B050"/>
          <x14:colorLow rgb="FFFF0000"/>
          <x14:sparklines>
            <x14:sparkline>
              <xm:f>'Key Items'!R11:R16</xm:f>
              <xm:sqref>F8</xm:sqref>
            </x14:sparkline>
          </x14:sparklines>
        </x14:sparklineGroup>
        <x14:sparklineGroup manualMax="0" manualMin="0" displayEmptyCellsAs="gap" rightToLeft="1" xr2:uid="{00000000-0003-0000-0200-000002000000}">
          <x14:colorSeries rgb="FF00B050"/>
          <x14:colorNegative rgb="FFFF0000"/>
          <x14:colorAxis rgb="FF000000"/>
          <x14:colorMarkers rgb="FF0070C0"/>
          <x14:colorFirst rgb="FFFFC000"/>
          <x14:colorLast rgb="FFFFC000"/>
          <x14:colorHigh rgb="FF00B050"/>
          <x14:colorLow rgb="FFFF0000"/>
          <x14:sparklines>
            <x14:sparkline>
              <xm:f>'Key Items'!T11:T16</xm:f>
              <xm:sqref>F10</xm:sqref>
            </x14:sparkline>
          </x14:sparklines>
        </x14:sparklineGroup>
        <x14:sparklineGroup manualMax="0" manualMin="0" displayEmptyCellsAs="gap" rightToLeft="1" xr2:uid="{00000000-0003-0000-0200-000001000000}">
          <x14:colorSeries rgb="FF00B050"/>
          <x14:colorNegative rgb="FFFF0000"/>
          <x14:colorAxis rgb="FF000000"/>
          <x14:colorMarkers rgb="FF0070C0"/>
          <x14:colorFirst rgb="FFFFC000"/>
          <x14:colorLast rgb="FFFFC000"/>
          <x14:colorHigh rgb="FF00B050"/>
          <x14:colorLow rgb="FFFF0000"/>
          <x14:sparklines>
            <x14:sparkline>
              <xm:f>'Key Items'!S11:S16</xm:f>
              <xm:sqref>F9</xm:sqref>
            </x14:sparkline>
          </x14:sparklines>
        </x14:sparklineGroup>
        <x14:sparklineGroup manualMax="0" manualMin="0" displayEmptyCellsAs="gap" displayXAxis="1" rightToLeft="1" xr2:uid="{00000000-0003-0000-0200-000000000000}">
          <x14:colorSeries rgb="FF00B050"/>
          <x14:colorNegative rgb="FFFF0000"/>
          <x14:colorAxis rgb="FF000000"/>
          <x14:colorMarkers rgb="FF0070C0"/>
          <x14:colorFirst rgb="FFFFC000"/>
          <x14:colorLast rgb="FFFFC000"/>
          <x14:colorHigh rgb="FF00B050"/>
          <x14:colorLow rgb="FFFF0000"/>
          <x14:sparklines>
            <x14:sparkline>
              <xm:f>'Key Items'!AD11:AD16</xm:f>
              <xm:sqref>F25</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6"/>
    <pageSetUpPr fitToPage="1"/>
  </sheetPr>
  <dimension ref="A1:O40"/>
  <sheetViews>
    <sheetView showGridLines="0" view="pageBreakPreview" zoomScale="80" zoomScaleNormal="100" zoomScaleSheetLayoutView="80" workbookViewId="0"/>
  </sheetViews>
  <sheetFormatPr defaultColWidth="9.109375" defaultRowHeight="14.4" x14ac:dyDescent="0.3"/>
  <cols>
    <col min="1" max="1" width="2.44140625" style="18" customWidth="1"/>
    <col min="2" max="2" width="24.44140625" style="18" customWidth="1"/>
    <col min="3" max="12" width="11.109375" style="18" customWidth="1"/>
    <col min="13" max="13" width="0.88671875" style="18" customWidth="1"/>
    <col min="14" max="14" width="15.44140625" style="18" customWidth="1"/>
    <col min="15" max="15" width="14.44140625" style="18" customWidth="1"/>
    <col min="16" max="16384" width="9.109375" style="18"/>
  </cols>
  <sheetData>
    <row r="1" spans="1:15" ht="16.2" x14ac:dyDescent="0.35">
      <c r="A1" s="23" t="s">
        <v>82</v>
      </c>
    </row>
    <row r="3" spans="1:15" ht="21.75" customHeight="1" x14ac:dyDescent="0.3">
      <c r="B3" s="103"/>
      <c r="C3" s="394" t="s">
        <v>84</v>
      </c>
      <c r="D3" s="395"/>
      <c r="E3" s="395"/>
      <c r="F3" s="397"/>
      <c r="G3" s="394" t="s">
        <v>85</v>
      </c>
      <c r="H3" s="395"/>
      <c r="I3" s="395"/>
      <c r="J3" s="395"/>
      <c r="K3" s="395"/>
      <c r="L3" s="396"/>
    </row>
    <row r="4" spans="1:15" ht="21.9" customHeight="1" x14ac:dyDescent="0.3">
      <c r="B4" s="104" t="s">
        <v>91</v>
      </c>
      <c r="C4" s="105" t="str">
        <f>"FY "&amp;[1]!IntrinioFundamentals(ticker,"income_statement","FY",1,"fiscal_year")&amp;"A"</f>
        <v>FY 2017A</v>
      </c>
      <c r="D4" s="106" t="str">
        <f>"FY "&amp;[1]!IntrinioFundamentals(ticker,"income_statement","FY",0,"fiscal_year")&amp;"A"</f>
        <v>FY 2018A</v>
      </c>
      <c r="E4" s="118" t="str">
        <f>"FY "&amp;[1]!IntrinioFundamentals(ticker,"income_statement","FY",0,"fiscal_year")+1&amp;"E"</f>
        <v>FY 2019E</v>
      </c>
      <c r="F4" s="119" t="str">
        <f>"FY "&amp;[1]!IntrinioFundamentals(ticker,"income_statement","FY",0,"fiscal_year")+2&amp;"E"</f>
        <v>FY 2020E</v>
      </c>
      <c r="G4" s="105" t="str">
        <f>[1]!IntrinioFundamentals(ticker,"income_statement","QTR",3,"fiscal_period")&amp;" "&amp;[1]!IntrinioFundamentals(ticker,"income_statement","QTR",3,"fiscal_year")&amp;"A"</f>
        <v>Q3 2018A</v>
      </c>
      <c r="H4" s="106" t="str">
        <f>[1]!IntrinioFundamentals(ticker,"income_statement","QTR",2,"fiscal_period")&amp;" "&amp;[1]!IntrinioFundamentals(ticker,"income_statement","QTR",2,"fiscal_year")&amp;"A"</f>
        <v>Q4 2018A</v>
      </c>
      <c r="I4" s="106" t="str">
        <f>[1]!IntrinioFundamentals(ticker,"income_statement","QTR",1,"fiscal_period")&amp;" "&amp;[1]!IntrinioFundamentals(ticker,"income_statement","QTR",1,"fiscal_year")&amp;"A"</f>
        <v>Q1 2019A</v>
      </c>
      <c r="J4" s="106" t="str">
        <f>[1]!IntrinioFundamentals(ticker,"income_statement","QTR",0,"fiscal_period")&amp;" "&amp;[1]!IntrinioFundamentals(ticker,"income_statement","QTR",0,"fiscal_year")&amp;"A"</f>
        <v>Q2 2019A</v>
      </c>
      <c r="K4" s="118" t="str">
        <f>[1]!IntrinioFundamentals(ticker,"income_statement","QTR",3,"fiscal_period")&amp;" "&amp;[1]!IntrinioFundamentals(ticker,"income_statement","QTR",3,"fiscal_year")+1&amp;"E"</f>
        <v>Q3 2019E</v>
      </c>
      <c r="L4" s="124" t="str">
        <f>[1]!IntrinioFundamentals(ticker,"income_statement","QTR",2,"fiscal_period")&amp;" "&amp;[1]!IntrinioFundamentals(ticker,"income_statement","QTR",2,"fiscal_year")+1&amp;"E"</f>
        <v>Q4 2019E</v>
      </c>
      <c r="N4" s="1"/>
    </row>
    <row r="5" spans="1:15" ht="21.9" customHeight="1" x14ac:dyDescent="0.3">
      <c r="B5" s="107" t="s">
        <v>89</v>
      </c>
      <c r="C5" s="108"/>
      <c r="D5" s="109"/>
      <c r="E5" s="120">
        <f>[1]!IntrinioDataPoint(ticker,"current_yr_high_revenue_est")/1000000</f>
        <v>259498</v>
      </c>
      <c r="F5" s="121">
        <f>[1]!IntrinioDataPoint(ticker,"next_yr_high_revenue_est")/1000000</f>
        <v>270549.40000000002</v>
      </c>
      <c r="G5" s="108"/>
      <c r="H5" s="109"/>
      <c r="I5" s="109"/>
      <c r="J5" s="109"/>
      <c r="K5" s="120">
        <f>[1]!IntrinioDataPoint(ticker,"current_qtr_high_revenue_est")/1000000</f>
        <v>54128.98</v>
      </c>
      <c r="L5" s="121">
        <f>[1]!IntrinioDataPoint(ticker,"next_qtr_high_revenue_est")/1000000</f>
        <v>63743</v>
      </c>
    </row>
    <row r="6" spans="1:15" ht="21.9" customHeight="1" x14ac:dyDescent="0.3">
      <c r="B6" s="111" t="s">
        <v>88</v>
      </c>
      <c r="C6" s="112"/>
      <c r="D6" s="113"/>
      <c r="E6" s="122">
        <f>E5/D7-1</f>
        <v>-2.2956004442854727E-2</v>
      </c>
      <c r="F6" s="123">
        <f>F5/E5-1</f>
        <v>4.2587611465213726E-2</v>
      </c>
      <c r="G6" s="114"/>
      <c r="H6" s="115"/>
      <c r="I6" s="115"/>
      <c r="J6" s="115"/>
      <c r="K6" s="122">
        <f>K5/G7-1</f>
        <v>1.6220407396977388E-2</v>
      </c>
      <c r="L6" s="123">
        <f>L5/H7-1</f>
        <v>4.4889348144321017</v>
      </c>
      <c r="M6" s="17"/>
      <c r="N6" s="17"/>
      <c r="O6" s="17"/>
    </row>
    <row r="7" spans="1:15" ht="21.9" customHeight="1" x14ac:dyDescent="0.3">
      <c r="B7" s="107" t="s">
        <v>157</v>
      </c>
      <c r="C7" s="116">
        <f>[1]!IntrinioFinancials(ticker,"income_statement",1,"FY","totalrevenue","A")/1000000</f>
        <v>229234</v>
      </c>
      <c r="D7" s="110">
        <f>[1]!IntrinioFinancials(ticker,"income_statement",0,"FY","totalrevenue","A")/1000000</f>
        <v>265595</v>
      </c>
      <c r="E7" s="120">
        <f>[1]!IntrinioDataPoint(ticker,"current_yr_ave_revenue_est")/1000000</f>
        <v>256928.663</v>
      </c>
      <c r="F7" s="121">
        <f>[1]!IntrinioDataPoint(ticker,"next_yr_ave_revenue_est")/1000000</f>
        <v>267142.15399999998</v>
      </c>
      <c r="G7" s="116">
        <f>[1]!IntrinioFinancials(ticker,"income_statement",3,"QTR","totalrevenue","A")/1000000</f>
        <v>53265</v>
      </c>
      <c r="H7" s="110">
        <f>[1]!IntrinioFinancials(ticker,"income_statement",2,"QTR","totalrevenue","A")/1000000</f>
        <v>11613</v>
      </c>
      <c r="I7" s="110">
        <f>[1]!IntrinioFinancials(ticker,"income_statement",1,"QTR","totalrevenue","A")/1000000</f>
        <v>84310</v>
      </c>
      <c r="J7" s="110">
        <f>[1]!IntrinioFinancials(ticker,"income_statement",0,"QTR","totalrevenue","A")/1000000</f>
        <v>104580</v>
      </c>
      <c r="K7" s="120">
        <f>[1]!IntrinioDataPoint(ticker,"current_qtr_ave_revenue_est")/1000000</f>
        <v>53457.315999999999</v>
      </c>
      <c r="L7" s="121">
        <f>[1]!IntrinioDataPoint(ticker,"next_qtr_ave_revenue_est")/1000000</f>
        <v>61110.135999999999</v>
      </c>
      <c r="M7" s="17"/>
      <c r="N7" s="17"/>
      <c r="O7" s="17"/>
    </row>
    <row r="8" spans="1:15" ht="21.9" customHeight="1" x14ac:dyDescent="0.3">
      <c r="B8" s="111" t="s">
        <v>88</v>
      </c>
      <c r="C8" s="112">
        <f>[1]!IntrinioFinancials(ticker,"calculations",1,"FY","revenuegrowth")</f>
        <v>6.3045000000000004E-2</v>
      </c>
      <c r="D8" s="113">
        <f>[1]!IntrinioFinancials(ticker,"calculations",0,"FY","revenuegrowth")</f>
        <v>0.15862000000000001</v>
      </c>
      <c r="E8" s="122">
        <f>E7/D7-1</f>
        <v>-3.2629895141098264E-2</v>
      </c>
      <c r="F8" s="123">
        <f>F7/E7-1</f>
        <v>3.9752244380768076E-2</v>
      </c>
      <c r="G8" s="112">
        <f>[1]!IntrinioFinancials(ticker,"calculations",3,"QTR","revenuegrowth")</f>
        <v>0.17303099999999999</v>
      </c>
      <c r="H8" s="113">
        <f>[1]!IntrinioFinancials(ticker,"calculations",2,"QTR","revenuegrowth")</f>
        <v>-0.77913200000000005</v>
      </c>
      <c r="I8" s="113">
        <f>[1]!IntrinioFinancials(ticker,"calculations",1,"QTR","revenuegrowth")</f>
        <v>-4.5110999999999998E-2</v>
      </c>
      <c r="J8" s="113">
        <f>[1]!IntrinioFinancials(ticker,"calculations",0,"QTR","revenuegrowth")</f>
        <v>-6.9772000000000001E-2</v>
      </c>
      <c r="K8" s="122">
        <f>K7/G7-1</f>
        <v>3.6105510184925027E-3</v>
      </c>
      <c r="L8" s="123">
        <f>L7/H7-1</f>
        <v>4.2622178592956166</v>
      </c>
      <c r="M8" s="17"/>
      <c r="N8" s="17"/>
      <c r="O8" s="17"/>
    </row>
    <row r="9" spans="1:15" ht="21.75" customHeight="1" x14ac:dyDescent="0.3">
      <c r="B9" s="107" t="s">
        <v>90</v>
      </c>
      <c r="C9" s="108"/>
      <c r="D9" s="109"/>
      <c r="E9" s="120">
        <f>[1]!IntrinioDataPoint(ticker,"current_yr_low_revenue_est")/1000000</f>
        <v>254739</v>
      </c>
      <c r="F9" s="121">
        <f>[1]!IntrinioDataPoint(ticker,"next_yr_low_revenue_est")/1000000</f>
        <v>258470</v>
      </c>
      <c r="G9" s="108"/>
      <c r="H9" s="109"/>
      <c r="I9" s="109"/>
      <c r="J9" s="109"/>
      <c r="K9" s="120">
        <f>[1]!IntrinioDataPoint(ticker,"current_qtr_low_revenue_est")/1000000</f>
        <v>53118</v>
      </c>
      <c r="L9" s="121">
        <f>[1]!IntrinioDataPoint(ticker,"next_qtr_low_revenue_est")/1000000</f>
        <v>58947</v>
      </c>
      <c r="M9" s="17"/>
      <c r="N9" s="17"/>
      <c r="O9" s="17"/>
    </row>
    <row r="10" spans="1:15" ht="21.9" customHeight="1" x14ac:dyDescent="0.3">
      <c r="B10" s="111" t="s">
        <v>88</v>
      </c>
      <c r="C10" s="112"/>
      <c r="D10" s="113"/>
      <c r="E10" s="122">
        <f>E9/D7-1</f>
        <v>-4.0874263446224468E-2</v>
      </c>
      <c r="F10" s="123">
        <f>F9/E9-1</f>
        <v>1.4646363532870854E-2</v>
      </c>
      <c r="G10" s="114"/>
      <c r="H10" s="115"/>
      <c r="I10" s="115"/>
      <c r="J10" s="115"/>
      <c r="K10" s="122">
        <f>K9/G7-1</f>
        <v>-2.7597859757814147E-3</v>
      </c>
      <c r="L10" s="123">
        <f>L9/H7-1</f>
        <v>4.075949367088608</v>
      </c>
      <c r="M10" s="17"/>
      <c r="N10" s="17"/>
      <c r="O10" s="17"/>
    </row>
    <row r="11" spans="1:15" ht="21.9" customHeight="1" x14ac:dyDescent="0.3">
      <c r="B11" s="117"/>
      <c r="C11" s="117"/>
      <c r="D11" s="117"/>
      <c r="E11" s="117"/>
      <c r="F11" s="117"/>
      <c r="G11" s="117"/>
      <c r="H11" s="117"/>
      <c r="I11" s="117"/>
      <c r="J11" s="117"/>
      <c r="K11" s="117"/>
      <c r="L11" s="117"/>
      <c r="M11" s="17"/>
      <c r="N11" s="17"/>
      <c r="O11" s="17"/>
    </row>
    <row r="12" spans="1:15" ht="21.9" customHeight="1" x14ac:dyDescent="0.3">
      <c r="B12" s="103"/>
      <c r="C12" s="394" t="s">
        <v>84</v>
      </c>
      <c r="D12" s="395"/>
      <c r="E12" s="395"/>
      <c r="F12" s="397"/>
      <c r="G12" s="394" t="s">
        <v>85</v>
      </c>
      <c r="H12" s="395"/>
      <c r="I12" s="395"/>
      <c r="J12" s="395"/>
      <c r="K12" s="395"/>
      <c r="L12" s="396"/>
      <c r="M12" s="17"/>
      <c r="N12" s="17"/>
      <c r="O12" s="17"/>
    </row>
    <row r="13" spans="1:15" ht="21.9" customHeight="1" x14ac:dyDescent="0.3">
      <c r="B13" s="104" t="s">
        <v>83</v>
      </c>
      <c r="C13" s="105" t="str">
        <f>"FY "&amp;[1]!IntrinioFundamentals(ticker,"income_statement","FY",1,"fiscal_year")&amp;"A"</f>
        <v>FY 2017A</v>
      </c>
      <c r="D13" s="106" t="str">
        <f>"FY "&amp;[1]!IntrinioFundamentals(ticker,"income_statement","FY",0,"fiscal_year")&amp;"A"</f>
        <v>FY 2018A</v>
      </c>
      <c r="E13" s="118" t="str">
        <f>"FY "&amp;[1]!IntrinioFundamentals(ticker,"income_statement","FY",0,"fiscal_year")+1&amp;"E"</f>
        <v>FY 2019E</v>
      </c>
      <c r="F13" s="119" t="str">
        <f>"FY "&amp;[1]!IntrinioFundamentals(ticker,"income_statement","FY",0,"fiscal_year")+2&amp;"E"</f>
        <v>FY 2020E</v>
      </c>
      <c r="G13" s="105" t="str">
        <f>[1]!IntrinioFundamentals(ticker,"income_statement","QTR",3,"fiscal_period")&amp;" "&amp;[1]!IntrinioFundamentals(ticker,"income_statement","QTR",3,"fiscal_year")&amp;"A"</f>
        <v>Q3 2018A</v>
      </c>
      <c r="H13" s="106" t="str">
        <f>[1]!IntrinioFundamentals(ticker,"income_statement","QTR",2,"fiscal_period")&amp;" "&amp;[1]!IntrinioFundamentals(ticker,"income_statement","QTR",2,"fiscal_year")&amp;"A"</f>
        <v>Q4 2018A</v>
      </c>
      <c r="I13" s="106" t="str">
        <f>[1]!IntrinioFundamentals(ticker,"income_statement","QTR",1,"fiscal_period")&amp;" "&amp;[1]!IntrinioFundamentals(ticker,"income_statement","QTR",1,"fiscal_year")&amp;"A"</f>
        <v>Q1 2019A</v>
      </c>
      <c r="J13" s="106" t="str">
        <f>[1]!IntrinioFundamentals(ticker,"income_statement","QTR",0,"fiscal_period")&amp;" "&amp;[1]!IntrinioFundamentals(ticker,"income_statement","QTR",0,"fiscal_year")&amp;"A"</f>
        <v>Q2 2019A</v>
      </c>
      <c r="K13" s="118" t="str">
        <f>[1]!IntrinioFundamentals(ticker,"income_statement","QTR",3,"fiscal_period")&amp;" "&amp;[1]!IntrinioFundamentals(ticker,"income_statement","QTR",3,"fiscal_year")+1&amp;"E"</f>
        <v>Q3 2019E</v>
      </c>
      <c r="L13" s="124" t="str">
        <f>[1]!IntrinioFundamentals(ticker,"income_statement","QTR",2,"fiscal_period")&amp;" "&amp;[1]!IntrinioFundamentals(ticker,"income_statement","QTR",2,"fiscal_year")+1&amp;"E"</f>
        <v>Q4 2019E</v>
      </c>
      <c r="M13" s="49"/>
      <c r="N13" s="49"/>
      <c r="O13" s="17"/>
    </row>
    <row r="14" spans="1:15" ht="21.9" customHeight="1" x14ac:dyDescent="0.3">
      <c r="B14" s="107" t="s">
        <v>86</v>
      </c>
      <c r="C14" s="108"/>
      <c r="D14" s="109"/>
      <c r="E14" s="125">
        <f>[1]!IntrinioDataPoint(ticker,"current_yr_high_eps_est")</f>
        <v>11.74</v>
      </c>
      <c r="F14" s="126">
        <f>[1]!IntrinioDataPoint(ticker,"next_yr_high_eps_est")</f>
        <v>14.15</v>
      </c>
      <c r="G14" s="108"/>
      <c r="H14" s="109"/>
      <c r="I14" s="109"/>
      <c r="J14" s="109"/>
      <c r="K14" s="125">
        <f>[1]!IntrinioDataPoint(ticker,"current_qtr_high_eps_est")</f>
        <v>2.2200000000000002</v>
      </c>
      <c r="L14" s="127">
        <f>[1]!IntrinioDataPoint(ticker,"next_qtr_high_eps_est")</f>
        <v>2.9</v>
      </c>
      <c r="M14" s="49"/>
      <c r="N14" s="49"/>
      <c r="O14" s="17"/>
    </row>
    <row r="15" spans="1:15" ht="21.9" customHeight="1" x14ac:dyDescent="0.3">
      <c r="B15" s="111" t="s">
        <v>88</v>
      </c>
      <c r="C15" s="112"/>
      <c r="D15" s="113"/>
      <c r="E15" s="122">
        <f>E14/D16-1</f>
        <v>-1.4273719563392073E-2</v>
      </c>
      <c r="F15" s="123">
        <f>F14/E14-1</f>
        <v>0.20528109028960828</v>
      </c>
      <c r="G15" s="114"/>
      <c r="H15" s="115"/>
      <c r="I15" s="115"/>
      <c r="J15" s="115"/>
      <c r="K15" s="122">
        <f>K14/G16-1</f>
        <v>-5.12820512820511E-2</v>
      </c>
      <c r="L15" s="123">
        <f>L14/H16-1</f>
        <v>-1.6949152542372947E-2</v>
      </c>
      <c r="M15" s="49"/>
      <c r="N15" s="49"/>
      <c r="O15" s="17"/>
    </row>
    <row r="16" spans="1:15" ht="21.9" customHeight="1" x14ac:dyDescent="0.3">
      <c r="B16" s="107" t="s">
        <v>158</v>
      </c>
      <c r="C16" s="108">
        <f>[1]!IntrinioFinancials(ticker,"income_statement",1,"FY","dilutedeps")</f>
        <v>9.2100000000000009</v>
      </c>
      <c r="D16" s="109">
        <f>[1]!IntrinioFinancials(ticker,"income_statement",0,"FY","dilutedeps")</f>
        <v>11.91</v>
      </c>
      <c r="E16" s="125">
        <f>[1]!IntrinioDataPoint(ticker,"current_yr_ave_eps_est")</f>
        <v>11.4771</v>
      </c>
      <c r="F16" s="126">
        <f>[1]!IntrinioDataPoint(ticker,"next_yr_ave_eps_est")</f>
        <v>12.722099999999999</v>
      </c>
      <c r="G16" s="108">
        <f>[1]!IntrinioFinancials(ticker,"income_statement",3,"QTR","dilutedeps")</f>
        <v>2.34</v>
      </c>
      <c r="H16" s="109">
        <f>[1]!IntrinioFinancials(ticker,"income_statement",2,"QTR","dilutedeps")</f>
        <v>2.95</v>
      </c>
      <c r="I16" s="109">
        <f>[1]!IntrinioFinancials(ticker,"income_statement",1,"QTR","dilutedeps")</f>
        <v>4.18</v>
      </c>
      <c r="J16" s="109">
        <f>[1]!IntrinioFinancials(ticker,"income_statement",0,"QTR","dilutedeps")</f>
        <v>2.46</v>
      </c>
      <c r="K16" s="125">
        <f>[1]!IntrinioDataPoint(ticker,"current_qtr_ave_eps_est")</f>
        <v>2.0992000000000002</v>
      </c>
      <c r="L16" s="127">
        <f>[1]!IntrinioDataPoint(ticker,"next_qtr_ave_eps_est")</f>
        <v>2.6882000000000001</v>
      </c>
      <c r="M16" s="49"/>
      <c r="N16" s="49"/>
      <c r="O16" s="17"/>
    </row>
    <row r="17" spans="2:15" ht="21.9" customHeight="1" x14ac:dyDescent="0.3">
      <c r="B17" s="111" t="s">
        <v>88</v>
      </c>
      <c r="C17" s="112">
        <f>[1]!IntrinioFinancials(ticker,"calculations",1,"FY","epsgrowth")</f>
        <v>0.108303</v>
      </c>
      <c r="D17" s="113">
        <f>[1]!IntrinioFinancials(ticker,"calculations",0,"FY","epsgrowth")</f>
        <v>0.29315999999999998</v>
      </c>
      <c r="E17" s="122">
        <f>E16/D16-1</f>
        <v>-3.6347607052896747E-2</v>
      </c>
      <c r="F17" s="123">
        <f>F16/E16-1</f>
        <v>0.10847688004809575</v>
      </c>
      <c r="G17" s="112">
        <f>[1]!IntrinioFinancials(ticker,"calculations",3,"QTR","epsgrowth")</f>
        <v>0.401198</v>
      </c>
      <c r="H17" s="113">
        <f>[1]!IntrinioFinancials(ticker,"calculations",2,"QTR","epsgrowth")</f>
        <v>0.418269</v>
      </c>
      <c r="I17" s="113">
        <f>[1]!IntrinioFinancials(ticker,"calculations",1,"QTR","epsgrowth")</f>
        <v>7.4550000000000005E-2</v>
      </c>
      <c r="J17" s="113">
        <f>[1]!IntrinioFinancials(ticker,"calculations",0,"QTR","epsgrowth")</f>
        <v>-9.8901000000000003E-2</v>
      </c>
      <c r="K17" s="122">
        <f>K16/G16-1</f>
        <v>-0.10290598290598274</v>
      </c>
      <c r="L17" s="123">
        <f>L16/H16-1</f>
        <v>-8.8745762711864407E-2</v>
      </c>
      <c r="M17" s="49"/>
      <c r="N17" s="49"/>
      <c r="O17" s="17"/>
    </row>
    <row r="18" spans="2:15" ht="21.9" customHeight="1" x14ac:dyDescent="0.3">
      <c r="B18" s="107" t="s">
        <v>87</v>
      </c>
      <c r="C18" s="108"/>
      <c r="D18" s="109"/>
      <c r="E18" s="125">
        <f>[1]!IntrinioDataPoint(ticker,"current_yr_low_eps_est")</f>
        <v>10.86</v>
      </c>
      <c r="F18" s="126">
        <f>[1]!IntrinioDataPoint(ticker,"next_yr_low_eps_est")</f>
        <v>9.75</v>
      </c>
      <c r="G18" s="108"/>
      <c r="H18" s="109"/>
      <c r="I18" s="109"/>
      <c r="J18" s="109"/>
      <c r="K18" s="125">
        <f>[1]!IntrinioDataPoint(ticker,"current_qtr_low_eps_est")</f>
        <v>1.79</v>
      </c>
      <c r="L18" s="127">
        <f>[1]!IntrinioDataPoint(ticker,"next_qtr_low_eps_est")</f>
        <v>2.39</v>
      </c>
      <c r="M18" s="49"/>
      <c r="N18" s="49"/>
      <c r="O18" s="17"/>
    </row>
    <row r="19" spans="2:15" ht="21.75" customHeight="1" x14ac:dyDescent="0.3">
      <c r="B19" s="111" t="s">
        <v>88</v>
      </c>
      <c r="C19" s="112"/>
      <c r="D19" s="113"/>
      <c r="E19" s="122">
        <f>E18/D16-1</f>
        <v>-8.8161209068010171E-2</v>
      </c>
      <c r="F19" s="123">
        <f>F18/E18-1</f>
        <v>-0.10220994475138112</v>
      </c>
      <c r="G19" s="114"/>
      <c r="H19" s="115"/>
      <c r="I19" s="115"/>
      <c r="J19" s="115"/>
      <c r="K19" s="122">
        <f>K18/G16-1</f>
        <v>-0.23504273504273498</v>
      </c>
      <c r="L19" s="123">
        <f>L18/H16-1</f>
        <v>-0.18983050847457628</v>
      </c>
      <c r="M19" s="49"/>
      <c r="N19" s="49"/>
      <c r="O19" s="17"/>
    </row>
    <row r="20" spans="2:15" ht="21.9" customHeight="1" x14ac:dyDescent="0.3">
      <c r="B20" s="117"/>
      <c r="C20" s="117"/>
      <c r="D20" s="117"/>
      <c r="E20" s="117"/>
      <c r="F20" s="117"/>
      <c r="G20" s="117"/>
      <c r="H20" s="117"/>
      <c r="I20" s="117"/>
      <c r="J20" s="117"/>
      <c r="K20" s="117"/>
      <c r="L20" s="117"/>
      <c r="M20" s="49"/>
      <c r="N20" s="49"/>
      <c r="O20" s="17"/>
    </row>
    <row r="21" spans="2:15" ht="21.9" customHeight="1" x14ac:dyDescent="0.3">
      <c r="B21" s="28"/>
      <c r="C21" s="28"/>
      <c r="D21" s="28"/>
      <c r="E21" s="28"/>
      <c r="F21" s="28"/>
      <c r="G21" s="28"/>
      <c r="H21" s="28"/>
      <c r="I21" s="28"/>
      <c r="J21" s="28"/>
      <c r="K21" s="28"/>
      <c r="L21" s="28"/>
      <c r="M21" s="49"/>
      <c r="N21" s="49"/>
      <c r="O21" s="17"/>
    </row>
    <row r="22" spans="2:15" ht="21.9" customHeight="1" x14ac:dyDescent="0.3">
      <c r="B22" s="28"/>
      <c r="C22" s="28"/>
      <c r="D22" s="28"/>
      <c r="E22" s="28"/>
      <c r="F22" s="28"/>
      <c r="G22" s="28"/>
      <c r="H22" s="28"/>
      <c r="I22" s="28"/>
      <c r="J22" s="28"/>
      <c r="K22" s="28"/>
      <c r="L22" s="28"/>
      <c r="M22" s="49"/>
      <c r="N22" s="49"/>
      <c r="O22" s="17"/>
    </row>
    <row r="23" spans="2:15" ht="21.9" customHeight="1" x14ac:dyDescent="0.3">
      <c r="B23" s="28"/>
      <c r="C23" s="28"/>
      <c r="D23" s="28"/>
      <c r="E23" s="28"/>
      <c r="F23" s="28"/>
      <c r="G23" s="28"/>
      <c r="H23" s="28"/>
      <c r="I23" s="28"/>
      <c r="J23" s="28"/>
      <c r="K23" s="28"/>
      <c r="L23" s="28"/>
      <c r="M23" s="51"/>
      <c r="N23" s="49"/>
      <c r="O23" s="17"/>
    </row>
    <row r="24" spans="2:15" ht="21.9" customHeight="1" x14ac:dyDescent="0.3">
      <c r="B24" s="28"/>
      <c r="C24" s="28"/>
      <c r="D24" s="28"/>
      <c r="E24" s="28"/>
      <c r="F24" s="28"/>
      <c r="G24" s="28"/>
      <c r="H24" s="28"/>
      <c r="I24" s="28"/>
      <c r="J24" s="28"/>
      <c r="K24" s="28"/>
      <c r="L24" s="28"/>
      <c r="M24" s="16"/>
      <c r="N24" s="17"/>
      <c r="O24" s="17"/>
    </row>
    <row r="25" spans="2:15" ht="21.9" customHeight="1" x14ac:dyDescent="0.3">
      <c r="B25" s="28"/>
      <c r="C25" s="28"/>
      <c r="D25" s="28"/>
      <c r="E25" s="28"/>
      <c r="F25" s="28"/>
      <c r="G25" s="28"/>
      <c r="H25" s="28"/>
      <c r="I25" s="28"/>
      <c r="J25" s="28"/>
      <c r="K25" s="28"/>
      <c r="L25" s="28"/>
      <c r="M25" s="17"/>
      <c r="N25" s="17"/>
      <c r="O25" s="17"/>
    </row>
    <row r="26" spans="2:15" ht="21.9" customHeight="1" x14ac:dyDescent="0.3">
      <c r="B26" s="28"/>
      <c r="C26" s="28"/>
      <c r="D26" s="28"/>
      <c r="E26" s="28"/>
      <c r="F26" s="28"/>
      <c r="G26" s="28"/>
      <c r="H26" s="28"/>
      <c r="I26" s="28"/>
      <c r="J26" s="28"/>
      <c r="K26" s="28"/>
      <c r="L26" s="28"/>
    </row>
    <row r="27" spans="2:15" ht="23.85" customHeight="1" x14ac:dyDescent="0.3">
      <c r="B27" s="28"/>
      <c r="C27" s="28"/>
      <c r="D27" s="28"/>
      <c r="E27" s="28"/>
      <c r="F27" s="28"/>
      <c r="G27" s="28"/>
      <c r="H27" s="28"/>
      <c r="I27" s="28"/>
      <c r="J27" s="28"/>
      <c r="K27" s="28"/>
      <c r="L27" s="28"/>
    </row>
    <row r="28" spans="2:15" ht="15.75" customHeight="1" x14ac:dyDescent="0.3">
      <c r="C28" s="3"/>
      <c r="D28" s="3"/>
      <c r="E28" s="3"/>
      <c r="G28" s="3"/>
      <c r="H28" s="3"/>
      <c r="I28" s="3"/>
      <c r="J28" s="3"/>
      <c r="K28" s="3"/>
      <c r="M28" s="20"/>
    </row>
    <row r="29" spans="2:15" x14ac:dyDescent="0.3">
      <c r="C29" s="3"/>
      <c r="D29" s="3"/>
      <c r="E29" s="3"/>
      <c r="G29" s="3"/>
      <c r="H29" s="3"/>
      <c r="I29" s="3"/>
      <c r="J29" s="3"/>
      <c r="K29" s="3"/>
      <c r="M29" s="20"/>
    </row>
    <row r="30" spans="2:15" x14ac:dyDescent="0.3">
      <c r="C30" s="3"/>
      <c r="D30" s="3"/>
      <c r="E30" s="3"/>
      <c r="G30" s="3"/>
      <c r="H30" s="3"/>
      <c r="I30" s="3"/>
      <c r="J30" s="3"/>
      <c r="K30" s="3"/>
      <c r="M30" s="20"/>
    </row>
    <row r="31" spans="2:15" x14ac:dyDescent="0.3">
      <c r="C31" s="3"/>
      <c r="D31" s="3"/>
      <c r="E31" s="3"/>
      <c r="G31" s="3"/>
      <c r="H31" s="3"/>
      <c r="I31" s="3"/>
      <c r="J31" s="3"/>
      <c r="K31" s="3"/>
      <c r="M31" s="20"/>
    </row>
    <row r="32" spans="2:15" x14ac:dyDescent="0.3">
      <c r="C32" s="3"/>
      <c r="D32" s="3"/>
      <c r="E32" s="3"/>
      <c r="G32" s="3"/>
      <c r="H32" s="3"/>
      <c r="I32" s="3"/>
      <c r="J32" s="3"/>
      <c r="K32" s="3"/>
      <c r="M32" s="20"/>
    </row>
    <row r="33" spans="3:13" x14ac:dyDescent="0.3">
      <c r="C33" s="3"/>
      <c r="D33" s="3"/>
      <c r="E33" s="3"/>
      <c r="G33" s="3"/>
      <c r="H33" s="3"/>
      <c r="I33" s="3"/>
      <c r="J33" s="3"/>
      <c r="K33" s="3"/>
    </row>
    <row r="34" spans="3:13" x14ac:dyDescent="0.3">
      <c r="C34" s="3"/>
      <c r="D34" s="3"/>
      <c r="E34" s="3"/>
      <c r="G34" s="3"/>
      <c r="H34" s="3"/>
      <c r="I34" s="3"/>
      <c r="J34" s="3"/>
      <c r="K34" s="3"/>
      <c r="M34" s="19"/>
    </row>
    <row r="35" spans="3:13" x14ac:dyDescent="0.3">
      <c r="C35" s="3"/>
      <c r="D35" s="3"/>
      <c r="E35" s="3"/>
      <c r="G35" s="3"/>
      <c r="H35" s="3"/>
      <c r="I35" s="3"/>
      <c r="J35" s="3"/>
      <c r="K35" s="3"/>
    </row>
    <row r="36" spans="3:13" x14ac:dyDescent="0.3">
      <c r="C36" s="3"/>
      <c r="D36" s="3"/>
      <c r="E36" s="3"/>
      <c r="G36" s="3"/>
      <c r="H36" s="3"/>
      <c r="I36" s="3"/>
      <c r="J36" s="3"/>
      <c r="K36" s="3"/>
    </row>
    <row r="37" spans="3:13" x14ac:dyDescent="0.3">
      <c r="C37" s="3"/>
      <c r="D37" s="3"/>
      <c r="E37" s="3"/>
      <c r="G37" s="3"/>
      <c r="H37" s="3"/>
      <c r="I37" s="3"/>
      <c r="J37" s="3"/>
      <c r="K37" s="3"/>
    </row>
    <row r="38" spans="3:13" x14ac:dyDescent="0.3">
      <c r="C38" s="3"/>
      <c r="D38" s="3"/>
      <c r="E38" s="3"/>
      <c r="G38" s="3"/>
      <c r="H38" s="3"/>
      <c r="I38" s="3"/>
      <c r="J38" s="3"/>
      <c r="K38" s="3"/>
    </row>
    <row r="39" spans="3:13" x14ac:dyDescent="0.3">
      <c r="C39" s="3"/>
      <c r="D39" s="3"/>
      <c r="E39" s="3"/>
      <c r="G39" s="3"/>
      <c r="H39" s="3"/>
      <c r="I39" s="3"/>
      <c r="J39" s="3"/>
      <c r="K39" s="3"/>
    </row>
    <row r="40" spans="3:13" x14ac:dyDescent="0.3">
      <c r="C40" s="3"/>
      <c r="D40" s="3"/>
      <c r="E40" s="3"/>
      <c r="G40" s="3"/>
      <c r="H40" s="3"/>
      <c r="I40" s="3"/>
      <c r="J40" s="3"/>
      <c r="K40" s="3"/>
    </row>
  </sheetData>
  <mergeCells count="4">
    <mergeCell ref="G12:L12"/>
    <mergeCell ref="C3:F3"/>
    <mergeCell ref="G3:L3"/>
    <mergeCell ref="C12:F12"/>
  </mergeCells>
  <conditionalFormatting sqref="M28:M30">
    <cfRule type="cellIs" dxfId="21" priority="3" operator="greaterThan">
      <formula>0</formula>
    </cfRule>
    <cfRule type="cellIs" dxfId="20" priority="4" operator="lessThan">
      <formula>0</formula>
    </cfRule>
  </conditionalFormatting>
  <pageMargins left="0.7" right="0.7" top="0.75" bottom="0.75" header="0.3" footer="0.3"/>
  <pageSetup scale="86" orientation="landscape" r:id="rId1"/>
  <headerFooter>
    <oddHeader>&amp;LApple Inc (AAPL)          $116.52&amp;RReport Date: 12/26/2016</oddHeader>
    <oddFooter>&amp;L&amp;G&amp;R&amp;P</oddFooter>
  </headerFooter>
  <ignoredErrors>
    <ignoredError sqref="F8 F17" formula="1"/>
  </ignoredErrors>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7"/>
    <pageSetUpPr fitToPage="1"/>
  </sheetPr>
  <dimension ref="A1:N48"/>
  <sheetViews>
    <sheetView showGridLines="0" view="pageBreakPreview" zoomScale="80" zoomScaleNormal="100" zoomScaleSheetLayoutView="80" workbookViewId="0"/>
  </sheetViews>
  <sheetFormatPr defaultColWidth="9.109375" defaultRowHeight="14.4" x14ac:dyDescent="0.3"/>
  <cols>
    <col min="1" max="1" width="2.44140625" style="18" customWidth="1"/>
    <col min="2" max="2" width="18.21875" style="18" customWidth="1"/>
    <col min="3" max="11" width="11.44140625" style="18" customWidth="1"/>
    <col min="12" max="12" width="0.88671875" style="18" customWidth="1"/>
    <col min="13" max="13" width="15.44140625" style="18" customWidth="1"/>
    <col min="14" max="14" width="14.44140625" style="18" customWidth="1"/>
    <col min="15" max="16384" width="9.109375" style="18"/>
  </cols>
  <sheetData>
    <row r="1" spans="1:14" ht="16.2" x14ac:dyDescent="0.35">
      <c r="A1" s="23" t="s">
        <v>143</v>
      </c>
    </row>
    <row r="3" spans="1:14" ht="21.75" customHeight="1" x14ac:dyDescent="0.3">
      <c r="B3" s="103"/>
      <c r="C3" s="394" t="s">
        <v>84</v>
      </c>
      <c r="D3" s="395"/>
      <c r="E3" s="395"/>
      <c r="F3" s="395"/>
      <c r="G3" s="397"/>
      <c r="H3" s="394" t="s">
        <v>85</v>
      </c>
      <c r="I3" s="395"/>
      <c r="J3" s="395"/>
      <c r="K3" s="395"/>
    </row>
    <row r="4" spans="1:14" ht="21.9" customHeight="1" x14ac:dyDescent="0.3">
      <c r="B4" s="104"/>
      <c r="C4" s="105" t="str">
        <f>"FY "&amp;[1]!IntrinioFundamentals(ticker,"income_statement",C29,C30,"fiscal_year")</f>
        <v>FY 2015</v>
      </c>
      <c r="D4" s="106" t="str">
        <f>"FY "&amp;[1]!IntrinioFundamentals(ticker,"income_statement",D29,D30,"fiscal_year")</f>
        <v>FY 2016</v>
      </c>
      <c r="E4" s="106" t="str">
        <f>"FY "&amp;[1]!IntrinioFundamentals(ticker,"income_statement",E29,E30,"fiscal_year")</f>
        <v>FY 2017</v>
      </c>
      <c r="F4" s="106" t="str">
        <f>"FY "&amp;[1]!IntrinioFundamentals(ticker,"income_statement",F29,F30,"fiscal_year")</f>
        <v>FY 2018</v>
      </c>
      <c r="G4" s="276" t="str">
        <f>G29&amp; " " &amp;G30</f>
        <v>Q2TTM 2019</v>
      </c>
      <c r="H4" s="105" t="str">
        <f>[1]!IntrinioFundamentals(ticker,"income_statement",H29,H30,"fiscal_period")&amp;" "&amp;[1]!IntrinioFundamentals(ticker,"income_statement",H29,H30,"fiscal_year")</f>
        <v>Q3 2018</v>
      </c>
      <c r="I4" s="106" t="str">
        <f>[1]!IntrinioFundamentals(ticker,"income_statement",I29,I30,"fiscal_period")&amp;" "&amp;[1]!IntrinioFundamentals(ticker,"income_statement",I29,I30,"fiscal_year")</f>
        <v>Q4 2018</v>
      </c>
      <c r="J4" s="106" t="str">
        <f>[1]!IntrinioFundamentals(ticker,"income_statement",J29,J30,"fiscal_period")&amp;" "&amp;[1]!IntrinioFundamentals(ticker,"income_statement",J29,J30,"fiscal_year")</f>
        <v>Q1 2019</v>
      </c>
      <c r="K4" s="106" t="str">
        <f>[1]!IntrinioFundamentals(ticker,"income_statement",K29,K30,"fiscal_period")&amp;" "&amp;[1]!IntrinioFundamentals(ticker,"income_statement",K29,K30,"fiscal_year")</f>
        <v>Q2 2019</v>
      </c>
      <c r="M4" s="1"/>
    </row>
    <row r="5" spans="1:14" ht="21.9" customHeight="1" x14ac:dyDescent="0.3">
      <c r="B5" s="245" t="s">
        <v>66</v>
      </c>
      <c r="C5" s="277">
        <f>[1]!IntrinioFinancials(ticker,"income_statement",C$30,C$29,"totalrevenue","A")/1000000</f>
        <v>233715</v>
      </c>
      <c r="D5" s="247">
        <f>[1]!IntrinioFinancials(ticker,"income_statement",D$30,D$29,"totalrevenue","A")/1000000</f>
        <v>215639</v>
      </c>
      <c r="E5" s="247">
        <f>[1]!IntrinioFinancials(ticker,"income_statement",E$30,E$29,"totalrevenue","A")/1000000</f>
        <v>229234</v>
      </c>
      <c r="F5" s="247">
        <f>[1]!IntrinioFinancials(ticker,"income_statement",F$30,F$29,"totalrevenue","A")/1000000</f>
        <v>265595</v>
      </c>
      <c r="G5" s="278">
        <f>[1]!IntrinioFinancials(ticker,"income_statement",G$30,G$29,"totalrevenue","A")/1000000</f>
        <v>253768</v>
      </c>
      <c r="H5" s="246">
        <f>[1]!IntrinioFinancials(ticker,"income_statement",H$30,H$29,"totalrevenue","A")/1000000</f>
        <v>53265</v>
      </c>
      <c r="I5" s="247">
        <f>[1]!IntrinioFinancials(ticker,"income_statement",I$30,I$29,"totalrevenue","A")/1000000</f>
        <v>11613</v>
      </c>
      <c r="J5" s="247">
        <f>[1]!IntrinioFinancials(ticker,"income_statement",J$30,J$29,"totalrevenue","A")/1000000</f>
        <v>84310</v>
      </c>
      <c r="K5" s="247">
        <f>[1]!IntrinioFinancials(ticker,"income_statement",K$30,K$29,"totalrevenue","A")/1000000</f>
        <v>104580</v>
      </c>
    </row>
    <row r="6" spans="1:14" s="242" customFormat="1" x14ac:dyDescent="0.35">
      <c r="B6" s="248" t="s">
        <v>88</v>
      </c>
      <c r="C6" s="249">
        <f>[1]!IntrinioFinancials(ticker,"calculations",C$30,C$29,"revenuegrowth")</f>
        <v>0.27856300000000001</v>
      </c>
      <c r="D6" s="250">
        <f>[1]!IntrinioFinancials(ticker,"calculations",D$30,D$29,"revenuegrowth")</f>
        <v>-7.7341999999999994E-2</v>
      </c>
      <c r="E6" s="250">
        <f>[1]!IntrinioFinancials(ticker,"calculations",E$30,E$29,"revenuegrowth")</f>
        <v>6.3045000000000004E-2</v>
      </c>
      <c r="F6" s="250">
        <f>[1]!IntrinioFinancials(ticker,"calculations",F$30,F$29,"revenuegrowth")</f>
        <v>0.15862000000000001</v>
      </c>
      <c r="G6" s="279">
        <f>[1]!IntrinioFinancials(ticker,"calculations",G$30,G$29,"revenuegrowth")</f>
        <v>-0.15043699999999999</v>
      </c>
      <c r="H6" s="249">
        <f>[1]!IntrinioFinancials(ticker,"calculations",H$30,H$29,"revenuegrowth")</f>
        <v>0.17303099999999999</v>
      </c>
      <c r="I6" s="250">
        <f>[1]!IntrinioFinancials(ticker,"calculations",I$30,I$29,"revenuegrowth")</f>
        <v>-0.77913200000000005</v>
      </c>
      <c r="J6" s="250">
        <f>[1]!IntrinioFinancials(ticker,"calculations",J$30,J$29,"revenuegrowth")</f>
        <v>-4.5110999999999998E-2</v>
      </c>
      <c r="K6" s="250">
        <f>[1]!IntrinioFinancials(ticker,"calculations",K$30,K$29,"revenuegrowth")</f>
        <v>-6.9772000000000001E-2</v>
      </c>
      <c r="L6" s="243"/>
      <c r="M6" s="243"/>
      <c r="N6" s="243"/>
    </row>
    <row r="7" spans="1:14" ht="21.9" customHeight="1" x14ac:dyDescent="0.3">
      <c r="B7" s="245" t="s">
        <v>135</v>
      </c>
      <c r="C7" s="277">
        <f>[1]!IntrinioFinancials(ticker,"income_statement",C$30,C$29,"totalgrossprofit","A")/1000000</f>
        <v>93626</v>
      </c>
      <c r="D7" s="247">
        <f>[1]!IntrinioFinancials(ticker,"income_statement",D$30,D$29,"totalgrossprofit","A")/1000000</f>
        <v>84263</v>
      </c>
      <c r="E7" s="247">
        <f>[1]!IntrinioFinancials(ticker,"income_statement",E$30,E$29,"totalgrossprofit","A")/1000000</f>
        <v>88186</v>
      </c>
      <c r="F7" s="247">
        <f>[1]!IntrinioFinancials(ticker,"income_statement",F$30,F$29,"totalgrossprofit","A")/1000000</f>
        <v>101839</v>
      </c>
      <c r="G7" s="278">
        <f>[1]!IntrinioFinancials(ticker,"income_statement",G$30,G$29,"totalgrossprofit","A")/1000000</f>
        <v>98357</v>
      </c>
      <c r="H7" s="246">
        <f>[1]!IntrinioFinancials(ticker,"income_statement",H$30,H$29,"totalgrossprofit","A")/1000000</f>
        <v>20421</v>
      </c>
      <c r="I7" s="247">
        <f>[1]!IntrinioFinancials(ticker,"income_statement",I$30,I$29,"totalgrossprofit","A")/1000000</f>
        <v>24084</v>
      </c>
      <c r="J7" s="247">
        <f>[1]!IntrinioFinancials(ticker,"income_statement",J$30,J$29,"totalgrossprofit","A")/1000000</f>
        <v>32031</v>
      </c>
      <c r="K7" s="247">
        <f>[1]!IntrinioFinancials(ticker,"income_statement",K$30,K$29,"totalgrossprofit","A")/1000000</f>
        <v>21821</v>
      </c>
      <c r="L7" s="17"/>
      <c r="M7" s="17"/>
      <c r="N7" s="17"/>
    </row>
    <row r="8" spans="1:14" s="242" customFormat="1" x14ac:dyDescent="0.35">
      <c r="B8" s="248" t="s">
        <v>136</v>
      </c>
      <c r="C8" s="249">
        <f>[1]!IntrinioFinancials(ticker,"calculations",C$30,C$29,"grossmargin")</f>
        <v>0.40059899999999998</v>
      </c>
      <c r="D8" s="250">
        <f>[1]!IntrinioFinancials(ticker,"calculations",D$30,D$29,"grossmargin")</f>
        <v>0.39076</v>
      </c>
      <c r="E8" s="250">
        <f>[1]!IntrinioFinancials(ticker,"calculations",E$30,E$29,"grossmargin")</f>
        <v>0.38469900000000001</v>
      </c>
      <c r="F8" s="250">
        <f>[1]!IntrinioFinancials(ticker,"calculations",F$30,F$29,"grossmargin")</f>
        <v>0.38343699999999997</v>
      </c>
      <c r="G8" s="279">
        <f>[1]!IntrinioFinancials(ticker,"calculations",G$30,G$29,"grossmargin")</f>
        <v>0.38758599999999999</v>
      </c>
      <c r="H8" s="249">
        <f>[1]!IntrinioFinancials(ticker,"calculations",H$30,H$29,"grossmargin")</f>
        <v>0.38338499999999998</v>
      </c>
      <c r="I8" s="250">
        <f>[1]!IntrinioFinancials(ticker,"calculations",I$30,I$29,"grossmargin")</f>
        <v>2.0738829999999999</v>
      </c>
      <c r="J8" s="250">
        <f>[1]!IntrinioFinancials(ticker,"calculations",J$30,J$29,"grossmargin")</f>
        <v>0.37991900000000001</v>
      </c>
      <c r="K8" s="250">
        <f>[1]!IntrinioFinancials(ticker,"calculations",K$30,K$29,"grossmargin")</f>
        <v>0.20865400000000001</v>
      </c>
      <c r="L8" s="243"/>
      <c r="M8" s="243"/>
      <c r="N8" s="243"/>
    </row>
    <row r="9" spans="1:14" ht="21.75" customHeight="1" x14ac:dyDescent="0.3">
      <c r="B9" s="245" t="s">
        <v>132</v>
      </c>
      <c r="C9" s="277">
        <f>[1]!IntrinioFinancials(ticker,"income_statement",C$30,C$29,"totaloperatingincome","A")/1000000</f>
        <v>71230</v>
      </c>
      <c r="D9" s="247">
        <f>[1]!IntrinioFinancials(ticker,"income_statement",D$30,D$29,"totaloperatingincome","A")/1000000</f>
        <v>60024</v>
      </c>
      <c r="E9" s="247">
        <f>[1]!IntrinioFinancials(ticker,"income_statement",E$30,E$29,"totaloperatingincome","A")/1000000</f>
        <v>61344</v>
      </c>
      <c r="F9" s="247">
        <f>[1]!IntrinioFinancials(ticker,"income_statement",F$30,F$29,"totaloperatingincome","A")/1000000</f>
        <v>70898</v>
      </c>
      <c r="G9" s="278">
        <f>[1]!IntrinioFinancials(ticker,"income_statement",G$30,G$29,"totaloperatingincome","A")/1000000</f>
        <v>65491</v>
      </c>
      <c r="H9" s="246">
        <f>[1]!IntrinioFinancials(ticker,"income_statement",H$30,H$29,"totaloperatingincome","A")/1000000</f>
        <v>12612</v>
      </c>
      <c r="I9" s="247">
        <f>[1]!IntrinioFinancials(ticker,"income_statement",I$30,I$29,"totaloperatingincome","A")/1000000</f>
        <v>16118</v>
      </c>
      <c r="J9" s="247">
        <f>[1]!IntrinioFinancials(ticker,"income_statement",J$30,J$29,"totaloperatingincome","A")/1000000</f>
        <v>23346</v>
      </c>
      <c r="K9" s="247">
        <f>[1]!IntrinioFinancials(ticker,"income_statement",K$30,K$29,"totaloperatingincome","A")/1000000</f>
        <v>13415</v>
      </c>
      <c r="L9" s="17"/>
      <c r="M9" s="17"/>
      <c r="N9" s="17"/>
    </row>
    <row r="10" spans="1:14" s="242" customFormat="1" x14ac:dyDescent="0.35">
      <c r="B10" s="248" t="s">
        <v>136</v>
      </c>
      <c r="C10" s="249">
        <f>[1]!IntrinioFinancials(ticker,"calculations",C$30,C$29,"operatingmargin")</f>
        <v>0.30477300000000002</v>
      </c>
      <c r="D10" s="250">
        <f>[1]!IntrinioFinancials(ticker,"calculations",D$30,D$29,"operatingmargin")</f>
        <v>0.27835399999999999</v>
      </c>
      <c r="E10" s="250">
        <f>[1]!IntrinioFinancials(ticker,"calculations",E$30,E$29,"operatingmargin")</f>
        <v>0.26760400000000001</v>
      </c>
      <c r="F10" s="250">
        <f>[1]!IntrinioFinancials(ticker,"calculations",F$30,F$29,"operatingmargin")</f>
        <v>0.26694000000000001</v>
      </c>
      <c r="G10" s="279">
        <f>[1]!IntrinioFinancials(ticker,"calculations",G$30,G$29,"operatingmargin")</f>
        <v>0.25807400000000003</v>
      </c>
      <c r="H10" s="249">
        <f>[1]!IntrinioFinancials(ticker,"calculations",H$30,H$29,"operatingmargin")</f>
        <v>0.23677799999999999</v>
      </c>
      <c r="I10" s="250">
        <f>[1]!IntrinioFinancials(ticker,"calculations",I$30,I$29,"operatingmargin")</f>
        <v>1.3879269999999999</v>
      </c>
      <c r="J10" s="250">
        <f>[1]!IntrinioFinancials(ticker,"calculations",J$30,J$29,"operatingmargin")</f>
        <v>0.27690700000000001</v>
      </c>
      <c r="K10" s="250">
        <f>[1]!IntrinioFinancials(ticker,"calculations",K$30,K$29,"operatingmargin")</f>
        <v>0.128275</v>
      </c>
      <c r="L10" s="243"/>
      <c r="M10" s="243"/>
      <c r="N10" s="243"/>
    </row>
    <row r="11" spans="1:14" ht="21.75" customHeight="1" x14ac:dyDescent="0.3">
      <c r="B11" s="245" t="s">
        <v>139</v>
      </c>
      <c r="C11" s="277">
        <f>[1]!IntrinioFinancials(ticker,"calculations",C$30,C$29,"ebitda","A")/1000000</f>
        <v>83772</v>
      </c>
      <c r="D11" s="247">
        <f>[1]!IntrinioFinancials(ticker,"calculations",D$30,D$29,"ebitda","A")/1000000</f>
        <v>71877</v>
      </c>
      <c r="E11" s="247">
        <f>[1]!IntrinioFinancials(ticker,"calculations",E$30,E$29,"ebitda","A")/1000000</f>
        <v>74246</v>
      </c>
      <c r="F11" s="247">
        <f>[1]!IntrinioFinancials(ticker,"calculations",F$30,F$29,"ebitda","A")/1000000</f>
        <v>83806</v>
      </c>
      <c r="G11" s="278">
        <f>[1]!IntrinioFinancials(ticker,"calculations",G$30,G$29,"ebitda","A")/1000000</f>
        <v>79258</v>
      </c>
      <c r="H11" s="246">
        <f>[1]!IntrinioFinancials(ticker,"calculations",H$30,H$29,"ebitda","A")/1000000</f>
        <v>15949</v>
      </c>
      <c r="I11" s="246">
        <f>[1]!IntrinioFinancials(ticker,"calculations",I$30,I$29,"ebitda","A")/1000000</f>
        <v>19175</v>
      </c>
      <c r="J11" s="246">
        <f>[1]!IntrinioFinancials(ticker,"calculations",J$30,J$29,"ebitda","A")/1000000</f>
        <v>27301</v>
      </c>
      <c r="K11" s="246">
        <f>[1]!IntrinioFinancials(ticker,"calculations",K$30,K$29,"ebitda","A")/1000000</f>
        <v>16833</v>
      </c>
      <c r="L11" s="17"/>
      <c r="M11" s="17"/>
      <c r="N11" s="17"/>
    </row>
    <row r="12" spans="1:14" s="242" customFormat="1" x14ac:dyDescent="0.35">
      <c r="B12" s="248" t="s">
        <v>136</v>
      </c>
      <c r="C12" s="249">
        <f>[1]!IntrinioFinancials(ticker,"calculations",C$30,C$29,"ebitdamargin")</f>
        <v>0.35843700000000001</v>
      </c>
      <c r="D12" s="250">
        <f>[1]!IntrinioFinancials(ticker,"calculations",D$30,D$29,"ebitdamargin")</f>
        <v>0.33332099999999998</v>
      </c>
      <c r="E12" s="250">
        <f>[1]!IntrinioFinancials(ticker,"calculations",E$30,E$29,"ebitdamargin")</f>
        <v>0.32388699999999998</v>
      </c>
      <c r="F12" s="250">
        <f>[1]!IntrinioFinancials(ticker,"calculations",F$30,F$29,"ebitdamargin")</f>
        <v>0.31554100000000002</v>
      </c>
      <c r="G12" s="279">
        <f>[1]!IntrinioFinancials(ticker,"calculations",G$30,G$29,"ebitdamargin")</f>
        <v>0.31232500000000002</v>
      </c>
      <c r="H12" s="249">
        <f>[1]!IntrinioFinancials(ticker,"calculations",H$30,H$29,"ebitdamargin")</f>
        <v>0.299427</v>
      </c>
      <c r="I12" s="250">
        <f>[1]!IntrinioFinancials(ticker,"calculations",I$30,I$29,"ebitdamargin")</f>
        <v>1.6511670000000001</v>
      </c>
      <c r="J12" s="250">
        <f>[1]!IntrinioFinancials(ticker,"calculations",J$30,J$29,"ebitdamargin")</f>
        <v>0.32381700000000002</v>
      </c>
      <c r="K12" s="250">
        <f>[1]!IntrinioFinancials(ticker,"calculations",K$30,K$29,"ebitdamargin")</f>
        <v>0.16095799999999999</v>
      </c>
      <c r="L12" s="243"/>
      <c r="M12" s="243"/>
      <c r="N12" s="243"/>
    </row>
    <row r="13" spans="1:14" ht="21.75" customHeight="1" x14ac:dyDescent="0.3">
      <c r="B13" s="245" t="s">
        <v>140</v>
      </c>
      <c r="C13" s="277">
        <f>[1]!IntrinioFinancials(ticker,"calculations",C$30,C$29,"ebit","A")/1000000</f>
        <v>72515</v>
      </c>
      <c r="D13" s="247">
        <f>[1]!IntrinioFinancials(ticker,"calculations",D$30,D$29,"ebit","A")/1000000</f>
        <v>61372</v>
      </c>
      <c r="E13" s="247">
        <f>[1]!IntrinioFinancials(ticker,"calculations",E$30,E$29,"ebit","A")/1000000</f>
        <v>64089</v>
      </c>
      <c r="F13" s="247">
        <f>[1]!IntrinioFinancials(ticker,"calculations",F$30,F$29,"ebit","A")/1000000</f>
        <v>72903</v>
      </c>
      <c r="G13" s="278">
        <f>[1]!IntrinioFinancials(ticker,"calculations",G$30,G$29,"ebit","A")/1000000</f>
        <v>67404</v>
      </c>
      <c r="H13" s="246">
        <f>[1]!IntrinioFinancials(ticker,"calculations",H$30,H$29,"ebit","A")/1000000</f>
        <v>13284</v>
      </c>
      <c r="I13" s="247">
        <f>[1]!IntrinioFinancials(ticker,"calculations",I$30,I$29,"ebit","A")/1000000</f>
        <v>16421</v>
      </c>
      <c r="J13" s="247">
        <f>[1]!IntrinioFinancials(ticker,"calculations",J$30,J$29,"ebit","A")/1000000</f>
        <v>23906</v>
      </c>
      <c r="K13" s="247">
        <f>[1]!IntrinioFinancials(ticker,"calculations",K$30,K$29,"ebit","A")/1000000</f>
        <v>13793</v>
      </c>
      <c r="L13" s="17"/>
      <c r="M13" s="17"/>
      <c r="N13" s="17"/>
    </row>
    <row r="14" spans="1:14" s="242" customFormat="1" x14ac:dyDescent="0.35">
      <c r="B14" s="248" t="s">
        <v>136</v>
      </c>
      <c r="C14" s="249">
        <f>[1]!IntrinioFinancials(ticker,"calculations",C$30,C$29,"ebitmargin")</f>
        <v>0.31027100000000002</v>
      </c>
      <c r="D14" s="250">
        <f>[1]!IntrinioFinancials(ticker,"calculations",D$30,D$29,"ebitmargin")</f>
        <v>0.284605</v>
      </c>
      <c r="E14" s="250">
        <f>[1]!IntrinioFinancials(ticker,"calculations",E$30,E$29,"ebitmargin")</f>
        <v>0.27957900000000002</v>
      </c>
      <c r="F14" s="250">
        <f>[1]!IntrinioFinancials(ticker,"calculations",F$30,F$29,"ebitmargin")</f>
        <v>0.27448899999999998</v>
      </c>
      <c r="G14" s="279">
        <f>[1]!IntrinioFinancials(ticker,"calculations",G$30,G$29,"ebitmargin")</f>
        <v>0.26561299999999999</v>
      </c>
      <c r="H14" s="249">
        <f>[1]!IntrinioFinancials(ticker,"calculations",H$30,H$29,"ebitmargin")</f>
        <v>0.24939500000000001</v>
      </c>
      <c r="I14" s="250">
        <f>[1]!IntrinioFinancials(ticker,"calculations",I$30,I$29,"ebitmargin")</f>
        <v>1.4140189999999999</v>
      </c>
      <c r="J14" s="250">
        <f>[1]!IntrinioFinancials(ticker,"calculations",J$30,J$29,"ebitmargin")</f>
        <v>0.283549</v>
      </c>
      <c r="K14" s="250">
        <f>[1]!IntrinioFinancials(ticker,"calculations",K$30,K$29,"ebitmargin")</f>
        <v>0.13188900000000001</v>
      </c>
      <c r="L14" s="243"/>
      <c r="M14" s="243"/>
      <c r="N14" s="243"/>
    </row>
    <row r="15" spans="1:14" ht="21.75" customHeight="1" x14ac:dyDescent="0.3">
      <c r="B15" s="245" t="s">
        <v>133</v>
      </c>
      <c r="C15" s="277">
        <f>[1]!IntrinioFinancials(ticker,"income_statement",C$30,C$29,"netincome","A")/1000000</f>
        <v>53394</v>
      </c>
      <c r="D15" s="247">
        <f>[1]!IntrinioFinancials(ticker,"income_statement",D$30,D$29,"netincome","A")/1000000</f>
        <v>45687</v>
      </c>
      <c r="E15" s="247">
        <f>[1]!IntrinioFinancials(ticker,"income_statement",E$30,E$29,"netincome","A")/1000000</f>
        <v>48351</v>
      </c>
      <c r="F15" s="247">
        <f>[1]!IntrinioFinancials(ticker,"income_statement",F$30,F$29,"netincome","A")/1000000</f>
        <v>59531</v>
      </c>
      <c r="G15" s="278">
        <f>[1]!IntrinioFinancials(ticker,"income_statement",G$30,G$29,"netincome","A")/1000000</f>
        <v>57170</v>
      </c>
      <c r="H15" s="246">
        <f>[1]!IntrinioFinancials(ticker,"income_statement",H$30,H$29,"netincome","A")/1000000</f>
        <v>11519</v>
      </c>
      <c r="I15" s="247">
        <f>[1]!IntrinioFinancials(ticker,"income_statement",I$30,I$29,"netincome","A")/1000000</f>
        <v>14125</v>
      </c>
      <c r="J15" s="247">
        <f>[1]!IntrinioFinancials(ticker,"income_statement",J$30,J$29,"netincome","A")/1000000</f>
        <v>19965</v>
      </c>
      <c r="K15" s="247">
        <f>[1]!IntrinioFinancials(ticker,"income_statement",K$30,K$29,"netincome","A")/1000000</f>
        <v>11561</v>
      </c>
      <c r="L15" s="17"/>
      <c r="M15" s="17"/>
      <c r="N15" s="17"/>
    </row>
    <row r="16" spans="1:14" s="242" customFormat="1" x14ac:dyDescent="0.35">
      <c r="B16" s="248" t="s">
        <v>136</v>
      </c>
      <c r="C16" s="249">
        <f>[1]!IntrinioFinancials(ticker,"calculations",C$30,C$29,"profitmargin")</f>
        <v>0.22845799999999999</v>
      </c>
      <c r="D16" s="250">
        <f>[1]!IntrinioFinancials(ticker,"calculations",D$30,D$29,"profitmargin")</f>
        <v>0.211868</v>
      </c>
      <c r="E16" s="250">
        <f>[1]!IntrinioFinancials(ticker,"calculations",E$30,E$29,"profitmargin")</f>
        <v>0.210924</v>
      </c>
      <c r="F16" s="250">
        <f>[1]!IntrinioFinancials(ticker,"calculations",F$30,F$29,"profitmargin")</f>
        <v>0.22414200000000001</v>
      </c>
      <c r="G16" s="279">
        <f>[1]!IntrinioFinancials(ticker,"calculations",G$30,G$29,"profitmargin")</f>
        <v>0.22528500000000001</v>
      </c>
      <c r="H16" s="249">
        <f>[1]!IntrinioFinancials(ticker,"calculations",H$30,H$29,"profitmargin")</f>
        <v>0.21625800000000001</v>
      </c>
      <c r="I16" s="250">
        <f>[1]!IntrinioFinancials(ticker,"calculations",I$30,I$29,"profitmargin")</f>
        <v>1.2163090000000001</v>
      </c>
      <c r="J16" s="250">
        <f>[1]!IntrinioFinancials(ticker,"calculations",J$30,J$29,"profitmargin")</f>
        <v>0.23680499999999999</v>
      </c>
      <c r="K16" s="250">
        <f>[1]!IntrinioFinancials(ticker,"calculations",K$30,K$29,"profitmargin")</f>
        <v>0.11054700000000001</v>
      </c>
      <c r="L16" s="243"/>
      <c r="M16" s="243"/>
      <c r="N16" s="243"/>
    </row>
    <row r="17" spans="2:14" ht="21.75" customHeight="1" x14ac:dyDescent="0.3">
      <c r="B17" s="245" t="s">
        <v>134</v>
      </c>
      <c r="C17" s="280">
        <f>[1]!IntrinioFinancials(ticker,"income_statement",C$30,C$29,"dilutedeps")</f>
        <v>9.2200000000000006</v>
      </c>
      <c r="D17" s="252">
        <f>[1]!IntrinioFinancials(ticker,"income_statement",D$30,D$29,"dilutedeps")</f>
        <v>8.31</v>
      </c>
      <c r="E17" s="252">
        <f>[1]!IntrinioFinancials(ticker,"income_statement",E$30,E$29,"dilutedeps")</f>
        <v>9.2100000000000009</v>
      </c>
      <c r="F17" s="252">
        <f>[1]!IntrinioFinancials(ticker,"income_statement",F$30,F$29,"dilutedeps")</f>
        <v>11.91</v>
      </c>
      <c r="G17" s="281">
        <f>[1]!IntrinioFinancials(ticker,"income_statement",G$30,G$29,"dilutedeps")</f>
        <v>11.93</v>
      </c>
      <c r="H17" s="251">
        <f>[1]!IntrinioFinancials(ticker,"income_statement",H$30,H$29,"dilutedeps")</f>
        <v>2.34</v>
      </c>
      <c r="I17" s="252">
        <f>[1]!IntrinioFinancials(ticker,"income_statement",I$30,I$29,"dilutedeps")</f>
        <v>2.95</v>
      </c>
      <c r="J17" s="252">
        <f>[1]!IntrinioFinancials(ticker,"income_statement",J$30,J$29,"dilutedeps")</f>
        <v>4.18</v>
      </c>
      <c r="K17" s="252">
        <f>[1]!IntrinioFinancials(ticker,"income_statement",K$30,K$29,"dilutedeps")</f>
        <v>2.46</v>
      </c>
      <c r="L17" s="17"/>
      <c r="M17" s="17"/>
      <c r="N17" s="17"/>
    </row>
    <row r="18" spans="2:14" s="242" customFormat="1" x14ac:dyDescent="0.35">
      <c r="B18" s="248" t="s">
        <v>88</v>
      </c>
      <c r="C18" s="249">
        <f>[1]!IntrinioFinancials(ticker,"calculations",C$30,C$29,"epsgrowth")</f>
        <v>0.42945699999999998</v>
      </c>
      <c r="D18" s="250">
        <f>[1]!IntrinioFinancials(ticker,"calculations",D$30,D$29,"epsgrowth")</f>
        <v>-9.8697999999999994E-2</v>
      </c>
      <c r="E18" s="250">
        <f>[1]!IntrinioFinancials(ticker,"calculations",E$30,E$29,"epsgrowth")</f>
        <v>0.108303</v>
      </c>
      <c r="F18" s="250">
        <f>[1]!IntrinioFinancials(ticker,"calculations",F$30,F$29,"epsgrowth")</f>
        <v>0.29315999999999998</v>
      </c>
      <c r="G18" s="279">
        <f>[1]!IntrinioFinancials(ticker,"calculations",G$30,G$29,"epsgrowth")</f>
        <v>0.15043400000000001</v>
      </c>
      <c r="H18" s="249">
        <f>[1]!IntrinioFinancials(ticker,"calculations",H$30,H$29,"epsgrowth")</f>
        <v>0.401198</v>
      </c>
      <c r="I18" s="250">
        <f>[1]!IntrinioFinancials(ticker,"calculations",I$30,I$29,"epsgrowth")</f>
        <v>0.418269</v>
      </c>
      <c r="J18" s="250">
        <f>[1]!IntrinioFinancials(ticker,"calculations",J$30,J$29,"epsgrowth")</f>
        <v>7.4550000000000005E-2</v>
      </c>
      <c r="K18" s="250">
        <f>[1]!IntrinioFinancials(ticker,"calculations",K$30,K$29,"epsgrowth")</f>
        <v>-9.8901000000000003E-2</v>
      </c>
      <c r="L18" s="243"/>
      <c r="M18" s="243"/>
      <c r="N18" s="243"/>
    </row>
    <row r="19" spans="2:14" ht="21.9" customHeight="1" x14ac:dyDescent="0.3">
      <c r="B19" s="117"/>
      <c r="C19" s="117"/>
      <c r="D19" s="117"/>
      <c r="E19" s="117"/>
      <c r="F19" s="117"/>
      <c r="G19" s="117"/>
      <c r="H19" s="117"/>
      <c r="I19" s="117"/>
      <c r="J19" s="117"/>
      <c r="K19" s="117"/>
      <c r="L19" s="17"/>
      <c r="M19" s="17"/>
      <c r="N19" s="17"/>
    </row>
    <row r="20" spans="2:14" ht="21.9" customHeight="1" x14ac:dyDescent="0.3">
      <c r="B20" s="117"/>
      <c r="C20" s="117"/>
      <c r="D20" s="117"/>
      <c r="E20" s="117"/>
      <c r="F20" s="117"/>
      <c r="G20" s="117"/>
      <c r="H20" s="117"/>
      <c r="I20" s="117"/>
      <c r="J20" s="117"/>
      <c r="K20" s="117"/>
      <c r="L20" s="17"/>
      <c r="M20" s="17"/>
      <c r="N20" s="17"/>
    </row>
    <row r="21" spans="2:14" ht="21.9" customHeight="1" x14ac:dyDescent="0.3">
      <c r="B21" s="117"/>
      <c r="C21" s="117"/>
      <c r="D21" s="117"/>
      <c r="E21" s="117"/>
      <c r="F21" s="117"/>
      <c r="G21" s="117"/>
      <c r="H21" s="117"/>
      <c r="I21" s="117"/>
      <c r="J21" s="117"/>
      <c r="K21" s="117"/>
      <c r="L21" s="17"/>
      <c r="M21" s="17"/>
      <c r="N21" s="17"/>
    </row>
    <row r="22" spans="2:14" ht="21.9" customHeight="1" x14ac:dyDescent="0.3">
      <c r="B22" s="117"/>
      <c r="C22" s="117"/>
      <c r="D22" s="117"/>
      <c r="E22" s="117"/>
      <c r="F22" s="117"/>
      <c r="G22" s="117"/>
      <c r="H22" s="117"/>
      <c r="I22" s="117"/>
      <c r="J22" s="117"/>
      <c r="K22" s="117"/>
      <c r="L22" s="17"/>
      <c r="M22" s="17"/>
      <c r="N22" s="17"/>
    </row>
    <row r="23" spans="2:14" ht="21.9" customHeight="1" x14ac:dyDescent="0.3">
      <c r="B23" s="117"/>
      <c r="C23" s="117"/>
      <c r="D23" s="117"/>
      <c r="E23" s="117"/>
      <c r="F23" s="117"/>
      <c r="G23" s="117"/>
      <c r="H23" s="117"/>
      <c r="I23" s="117"/>
      <c r="J23" s="117"/>
      <c r="K23" s="117"/>
      <c r="L23" s="17"/>
      <c r="M23" s="17"/>
      <c r="N23" s="17"/>
    </row>
    <row r="24" spans="2:14" ht="21.9" customHeight="1" x14ac:dyDescent="0.3">
      <c r="B24" s="117"/>
      <c r="C24" s="117"/>
      <c r="D24" s="117"/>
      <c r="E24" s="117"/>
      <c r="F24" s="117"/>
      <c r="G24" s="117"/>
      <c r="H24" s="117"/>
      <c r="I24" s="117"/>
      <c r="J24" s="117"/>
      <c r="K24" s="117"/>
      <c r="L24" s="17"/>
      <c r="M24" s="17"/>
      <c r="N24" s="17"/>
    </row>
    <row r="25" spans="2:14" ht="21.9" customHeight="1" x14ac:dyDescent="0.3">
      <c r="B25" s="117"/>
      <c r="C25" s="117"/>
      <c r="D25" s="117"/>
      <c r="E25" s="117"/>
      <c r="F25" s="117"/>
      <c r="G25" s="117"/>
      <c r="H25" s="117"/>
      <c r="I25" s="117"/>
      <c r="J25" s="117"/>
      <c r="K25" s="117"/>
      <c r="L25" s="17"/>
      <c r="M25" s="17"/>
      <c r="N25" s="17"/>
    </row>
    <row r="26" spans="2:14" ht="21.9" customHeight="1" x14ac:dyDescent="0.3">
      <c r="B26" s="117"/>
      <c r="C26" s="117"/>
      <c r="D26" s="117"/>
      <c r="E26" s="117"/>
      <c r="F26" s="117"/>
      <c r="G26" s="117"/>
      <c r="H26" s="117"/>
      <c r="I26" s="117"/>
      <c r="J26" s="117"/>
      <c r="K26" s="117"/>
      <c r="L26" s="17"/>
      <c r="M26" s="17"/>
      <c r="N26" s="17"/>
    </row>
    <row r="27" spans="2:14" ht="21.9" customHeight="1" x14ac:dyDescent="0.3">
      <c r="B27" s="117"/>
      <c r="C27" s="117"/>
      <c r="D27" s="117"/>
      <c r="E27" s="117"/>
      <c r="F27" s="117"/>
      <c r="G27" s="117"/>
      <c r="H27" s="117"/>
      <c r="I27" s="117"/>
      <c r="J27" s="117"/>
      <c r="K27" s="117"/>
      <c r="L27" s="17"/>
      <c r="M27" s="17"/>
      <c r="N27" s="17"/>
    </row>
    <row r="28" spans="2:14" ht="21.9" customHeight="1" x14ac:dyDescent="0.3">
      <c r="B28" s="117"/>
      <c r="C28" s="117"/>
      <c r="D28" s="117"/>
      <c r="E28" s="117"/>
      <c r="F28" s="117"/>
      <c r="G28" s="117"/>
      <c r="H28" s="117"/>
      <c r="I28" s="117"/>
      <c r="J28" s="117"/>
      <c r="K28" s="117"/>
      <c r="L28" s="49"/>
      <c r="M28" s="49"/>
      <c r="N28" s="17"/>
    </row>
    <row r="29" spans="2:14" ht="21.9" customHeight="1" x14ac:dyDescent="0.3">
      <c r="B29" s="28"/>
      <c r="C29" s="244" t="str">
        <f>D29</f>
        <v>FY</v>
      </c>
      <c r="D29" s="244" t="str">
        <f>E29</f>
        <v>FY</v>
      </c>
      <c r="E29" s="244" t="str">
        <f>F29</f>
        <v>FY</v>
      </c>
      <c r="F29" s="244" t="s">
        <v>137</v>
      </c>
      <c r="G29" s="244" t="str">
        <f>[1]!IntrinioFundamentals(ticker,"income_statement","TTM",G31,"fiscal_period")</f>
        <v>Q2TTM</v>
      </c>
      <c r="H29" s="244" t="str">
        <f>I29</f>
        <v>QTR</v>
      </c>
      <c r="I29" s="244" t="str">
        <f>J29</f>
        <v>QTR</v>
      </c>
      <c r="J29" s="244" t="str">
        <f>K29</f>
        <v>QTR</v>
      </c>
      <c r="K29" s="244" t="s">
        <v>138</v>
      </c>
      <c r="L29" s="49"/>
      <c r="M29" s="49"/>
      <c r="N29" s="17"/>
    </row>
    <row r="30" spans="2:14" ht="21.9" customHeight="1" x14ac:dyDescent="0.3">
      <c r="B30" s="28"/>
      <c r="C30" s="28">
        <f t="shared" ref="C30:I30" si="0">D30+1</f>
        <v>3</v>
      </c>
      <c r="D30" s="28">
        <f t="shared" si="0"/>
        <v>2</v>
      </c>
      <c r="E30" s="28">
        <f>F30+1</f>
        <v>1</v>
      </c>
      <c r="F30" s="28">
        <f>IF(G29="FY",1,0)</f>
        <v>0</v>
      </c>
      <c r="G30" s="28">
        <f>[1]!IntrinioFundamentals(ticker,"income_statement","TTM",G31,"fiscal_year")</f>
        <v>2019</v>
      </c>
      <c r="H30" s="28">
        <f t="shared" si="0"/>
        <v>3</v>
      </c>
      <c r="I30" s="28">
        <f t="shared" si="0"/>
        <v>2</v>
      </c>
      <c r="J30" s="28">
        <f>K30+1</f>
        <v>1</v>
      </c>
      <c r="K30" s="28">
        <v>0</v>
      </c>
      <c r="L30" s="49"/>
      <c r="M30" s="49"/>
      <c r="N30" s="17"/>
    </row>
    <row r="31" spans="2:14" ht="21.9" customHeight="1" x14ac:dyDescent="0.3">
      <c r="B31" s="28"/>
      <c r="C31" s="28"/>
      <c r="D31" s="28"/>
      <c r="E31" s="28"/>
      <c r="F31" s="28"/>
      <c r="G31" s="28">
        <v>0</v>
      </c>
      <c r="H31" s="28"/>
      <c r="I31" s="28"/>
      <c r="J31" s="28"/>
      <c r="K31" s="28"/>
      <c r="L31" s="51"/>
      <c r="M31" s="49"/>
      <c r="N31" s="17"/>
    </row>
    <row r="32" spans="2:14" ht="21.9" customHeight="1" x14ac:dyDescent="0.3">
      <c r="B32" s="28"/>
      <c r="C32" s="28"/>
      <c r="D32" s="28"/>
      <c r="E32" s="28"/>
      <c r="F32" s="28"/>
      <c r="G32" s="28"/>
      <c r="H32" s="28"/>
      <c r="I32" s="28"/>
      <c r="J32" s="28"/>
      <c r="K32" s="28"/>
      <c r="L32" s="16"/>
      <c r="M32" s="17"/>
      <c r="N32" s="17"/>
    </row>
    <row r="33" spans="2:14" ht="21.9" customHeight="1" x14ac:dyDescent="0.3">
      <c r="B33" s="28"/>
      <c r="C33" s="28"/>
      <c r="D33" s="28"/>
      <c r="E33" s="28"/>
      <c r="F33" s="28"/>
      <c r="G33" s="28"/>
      <c r="H33" s="28"/>
      <c r="I33" s="28"/>
      <c r="J33" s="28"/>
      <c r="K33" s="28"/>
      <c r="L33" s="17"/>
      <c r="M33" s="17"/>
      <c r="N33" s="17"/>
    </row>
    <row r="34" spans="2:14" ht="21.9" customHeight="1" x14ac:dyDescent="0.3">
      <c r="B34" s="28"/>
      <c r="C34" s="28"/>
      <c r="D34" s="28"/>
      <c r="E34" s="28"/>
      <c r="F34" s="28"/>
      <c r="G34" s="28"/>
      <c r="H34" s="28"/>
      <c r="I34" s="28"/>
      <c r="J34" s="28"/>
      <c r="K34" s="28"/>
    </row>
    <row r="35" spans="2:14" ht="23.85" customHeight="1" x14ac:dyDescent="0.3">
      <c r="B35" s="28"/>
      <c r="C35" s="28"/>
      <c r="D35" s="28"/>
      <c r="E35" s="28"/>
      <c r="F35" s="28"/>
      <c r="G35" s="28"/>
      <c r="H35" s="28"/>
      <c r="I35" s="28"/>
      <c r="J35" s="28"/>
      <c r="K35" s="28"/>
    </row>
    <row r="36" spans="2:14" ht="15.75" customHeight="1" x14ac:dyDescent="0.3">
      <c r="C36" s="3"/>
      <c r="D36" s="3"/>
      <c r="E36" s="3"/>
      <c r="F36" s="3"/>
      <c r="G36" s="3"/>
      <c r="H36" s="3"/>
      <c r="I36" s="3"/>
      <c r="J36" s="3"/>
      <c r="K36" s="3"/>
      <c r="L36" s="20"/>
    </row>
    <row r="37" spans="2:14" x14ac:dyDescent="0.3">
      <c r="C37" s="3"/>
      <c r="D37" s="3"/>
      <c r="E37" s="3"/>
      <c r="F37" s="3"/>
      <c r="G37" s="3"/>
      <c r="H37" s="3"/>
      <c r="I37" s="3"/>
      <c r="J37" s="3"/>
      <c r="K37" s="3"/>
      <c r="L37" s="20"/>
    </row>
    <row r="38" spans="2:14" x14ac:dyDescent="0.3">
      <c r="C38" s="3"/>
      <c r="D38" s="3"/>
      <c r="E38" s="3"/>
      <c r="F38" s="3"/>
      <c r="G38" s="3"/>
      <c r="H38" s="3"/>
      <c r="I38" s="3"/>
      <c r="J38" s="3"/>
      <c r="K38" s="3"/>
      <c r="L38" s="20"/>
    </row>
    <row r="39" spans="2:14" x14ac:dyDescent="0.3">
      <c r="C39" s="3"/>
      <c r="D39" s="3"/>
      <c r="E39" s="3"/>
      <c r="F39" s="3"/>
      <c r="G39" s="3"/>
      <c r="H39" s="3"/>
      <c r="I39" s="3"/>
      <c r="J39" s="3"/>
      <c r="K39" s="3"/>
      <c r="L39" s="20"/>
    </row>
    <row r="40" spans="2:14" x14ac:dyDescent="0.3">
      <c r="C40" s="3"/>
      <c r="D40" s="3"/>
      <c r="E40" s="3"/>
      <c r="F40" s="3"/>
      <c r="G40" s="3"/>
      <c r="H40" s="3"/>
      <c r="I40" s="3"/>
      <c r="J40" s="3"/>
      <c r="K40" s="3"/>
      <c r="L40" s="20"/>
    </row>
    <row r="41" spans="2:14" x14ac:dyDescent="0.3">
      <c r="C41" s="3"/>
      <c r="D41" s="3"/>
      <c r="E41" s="3"/>
      <c r="F41" s="3"/>
      <c r="G41" s="3"/>
      <c r="H41" s="3"/>
      <c r="I41" s="3"/>
      <c r="J41" s="3"/>
      <c r="K41" s="3"/>
    </row>
    <row r="42" spans="2:14" x14ac:dyDescent="0.3">
      <c r="C42" s="3"/>
      <c r="D42" s="3"/>
      <c r="E42" s="3"/>
      <c r="F42" s="3"/>
      <c r="G42" s="3"/>
      <c r="H42" s="3"/>
      <c r="I42" s="3"/>
      <c r="J42" s="3"/>
      <c r="K42" s="3"/>
      <c r="L42" s="19"/>
    </row>
    <row r="43" spans="2:14" x14ac:dyDescent="0.3">
      <c r="C43" s="3"/>
      <c r="D43" s="3"/>
      <c r="E43" s="3"/>
      <c r="F43" s="3"/>
      <c r="G43" s="3"/>
      <c r="H43" s="3"/>
      <c r="I43" s="3"/>
      <c r="J43" s="3"/>
      <c r="K43" s="3"/>
    </row>
    <row r="44" spans="2:14" x14ac:dyDescent="0.3">
      <c r="C44" s="3"/>
      <c r="D44" s="3"/>
      <c r="E44" s="3"/>
      <c r="F44" s="3"/>
      <c r="G44" s="3"/>
      <c r="H44" s="3"/>
      <c r="I44" s="3"/>
      <c r="J44" s="3"/>
      <c r="K44" s="3"/>
    </row>
    <row r="45" spans="2:14" x14ac:dyDescent="0.3">
      <c r="C45" s="3"/>
      <c r="D45" s="3"/>
      <c r="E45" s="3"/>
      <c r="F45" s="3"/>
      <c r="G45" s="3"/>
      <c r="H45" s="3"/>
      <c r="I45" s="3"/>
      <c r="J45" s="3"/>
      <c r="K45" s="3"/>
    </row>
    <row r="46" spans="2:14" x14ac:dyDescent="0.3">
      <c r="C46" s="3"/>
      <c r="D46" s="3"/>
      <c r="E46" s="3"/>
      <c r="F46" s="3"/>
      <c r="G46" s="3"/>
      <c r="H46" s="3"/>
      <c r="I46" s="3"/>
      <c r="J46" s="3"/>
      <c r="K46" s="3"/>
    </row>
    <row r="47" spans="2:14" x14ac:dyDescent="0.3">
      <c r="C47" s="3"/>
      <c r="D47" s="3"/>
      <c r="E47" s="3"/>
      <c r="F47" s="3"/>
      <c r="G47" s="3"/>
      <c r="H47" s="3"/>
      <c r="I47" s="3"/>
      <c r="J47" s="3"/>
      <c r="K47" s="3"/>
    </row>
    <row r="48" spans="2:14" x14ac:dyDescent="0.3">
      <c r="C48" s="3"/>
      <c r="D48" s="3"/>
      <c r="E48" s="3"/>
      <c r="F48" s="3"/>
      <c r="G48" s="3"/>
      <c r="H48" s="3"/>
      <c r="I48" s="3"/>
      <c r="J48" s="3"/>
      <c r="K48" s="3"/>
    </row>
  </sheetData>
  <mergeCells count="2">
    <mergeCell ref="H3:K3"/>
    <mergeCell ref="C3:G3"/>
  </mergeCells>
  <conditionalFormatting sqref="L36:L38">
    <cfRule type="cellIs" dxfId="19" priority="1" operator="greaterThan">
      <formula>0</formula>
    </cfRule>
    <cfRule type="cellIs" dxfId="18" priority="2" operator="lessThan">
      <formula>0</formula>
    </cfRule>
  </conditionalFormatting>
  <pageMargins left="0.7" right="0.7" top="0.75" bottom="0.75" header="0.3" footer="0.3"/>
  <pageSetup scale="89" orientation="landscape" r:id="rId1"/>
  <headerFooter>
    <oddHeader>&amp;LApple Inc (AAPL)          $116.52&amp;RReport Date: 12/26/2016</oddHeader>
    <oddFooter>&amp;L&amp;G&amp;R&amp;P</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theme="7"/>
    <pageSetUpPr fitToPage="1"/>
  </sheetPr>
  <dimension ref="A1:N49"/>
  <sheetViews>
    <sheetView showGridLines="0" view="pageBreakPreview" zoomScale="80" zoomScaleNormal="100" zoomScaleSheetLayoutView="80" workbookViewId="0"/>
  </sheetViews>
  <sheetFormatPr defaultColWidth="9.109375" defaultRowHeight="14.4" x14ac:dyDescent="0.3"/>
  <cols>
    <col min="1" max="1" width="2.44140625" style="18" customWidth="1"/>
    <col min="2" max="2" width="43.44140625" style="18" bestFit="1" customWidth="1"/>
    <col min="3" max="11" width="10.88671875" style="18" customWidth="1"/>
    <col min="12" max="12" width="0.88671875" style="18" customWidth="1"/>
    <col min="13" max="13" width="15.44140625" style="18" customWidth="1"/>
    <col min="14" max="14" width="23.44140625" style="18" bestFit="1" customWidth="1"/>
    <col min="15" max="16384" width="9.109375" style="18"/>
  </cols>
  <sheetData>
    <row r="1" spans="1:14" ht="16.2" x14ac:dyDescent="0.35">
      <c r="A1" s="23" t="s">
        <v>213</v>
      </c>
    </row>
    <row r="3" spans="1:14" ht="21.75" customHeight="1" x14ac:dyDescent="0.3">
      <c r="B3" s="103"/>
      <c r="C3" s="394" t="s">
        <v>84</v>
      </c>
      <c r="D3" s="395"/>
      <c r="E3" s="395"/>
      <c r="F3" s="395"/>
      <c r="G3" s="397"/>
      <c r="H3" s="394" t="s">
        <v>85</v>
      </c>
      <c r="I3" s="395"/>
      <c r="J3" s="395"/>
      <c r="K3" s="395"/>
    </row>
    <row r="4" spans="1:14" ht="21.9" customHeight="1" x14ac:dyDescent="0.3">
      <c r="B4" s="104"/>
      <c r="C4" s="105" t="str">
        <f>"FY "&amp;[1]!IntrinioFundamentals(ticker,"income_statement",C30,C31,"fiscal_year")</f>
        <v>FY 2015</v>
      </c>
      <c r="D4" s="106" t="str">
        <f>"FY "&amp;[1]!IntrinioFundamentals(ticker,"income_statement",D30,D31,"fiscal_year")</f>
        <v>FY 2016</v>
      </c>
      <c r="E4" s="106" t="str">
        <f>"FY "&amp;[1]!IntrinioFundamentals(ticker,"income_statement",E30,E31,"fiscal_year")</f>
        <v>FY 2017</v>
      </c>
      <c r="F4" s="106" t="str">
        <f>"FY "&amp;[1]!IntrinioFundamentals(ticker,"income_statement",F30,F31,"fiscal_year")</f>
        <v>FY 2018</v>
      </c>
      <c r="G4" s="276" t="str">
        <f>G30&amp; " " &amp;G31</f>
        <v>Q2TTM 2019</v>
      </c>
      <c r="H4" s="105" t="str">
        <f>[1]!IntrinioFundamentals(ticker,"income_statement",H30,H31,"fiscal_period")&amp;" "&amp;[1]!IntrinioFundamentals(ticker,"income_statement",H30,H31,"fiscal_year")</f>
        <v>Q3 2018</v>
      </c>
      <c r="I4" s="106" t="str">
        <f>[1]!IntrinioFundamentals(ticker,"income_statement",I30,I31,"fiscal_period")&amp;" "&amp;[1]!IntrinioFundamentals(ticker,"income_statement",I30,I31,"fiscal_year")</f>
        <v>Q4 2018</v>
      </c>
      <c r="J4" s="106" t="str">
        <f>[1]!IntrinioFundamentals(ticker,"income_statement",J30,J31,"fiscal_period")&amp;" "&amp;[1]!IntrinioFundamentals(ticker,"income_statement",J30,J31,"fiscal_year")</f>
        <v>Q1 2019</v>
      </c>
      <c r="K4" s="106" t="str">
        <f>[1]!IntrinioFundamentals(ticker,"income_statement",K30,K31,"fiscal_period")&amp;" "&amp;[1]!IntrinioFundamentals(ticker,"income_statement",K30,K31,"fiscal_year")</f>
        <v>Q2 2019</v>
      </c>
      <c r="M4" s="1"/>
    </row>
    <row r="5" spans="1:14" ht="21.45" customHeight="1" x14ac:dyDescent="0.3">
      <c r="B5" s="271" t="s">
        <v>184</v>
      </c>
      <c r="C5" s="277"/>
      <c r="D5" s="247"/>
      <c r="E5" s="247"/>
      <c r="F5" s="247"/>
      <c r="G5" s="278"/>
      <c r="H5" s="246"/>
      <c r="I5" s="247"/>
      <c r="J5" s="247"/>
      <c r="K5" s="247"/>
    </row>
    <row r="6" spans="1:14" s="242" customFormat="1" ht="21.45" customHeight="1" x14ac:dyDescent="0.35">
      <c r="B6" s="293" t="s">
        <v>185</v>
      </c>
      <c r="C6" s="274">
        <f>[1]!IntrinioFinancials(ticker,"calculations",C$31,C$30,$N6)</f>
        <v>0.224409</v>
      </c>
      <c r="D6" s="275">
        <f>[1]!IntrinioFinancials(ticker,"calculations",D$31,D$30,$N6)</f>
        <v>0.20721400000000001</v>
      </c>
      <c r="E6" s="275">
        <f>[1]!IntrinioFinancials(ticker,"calculations",E$31,E$30,$N6)</f>
        <v>0.20188999999999999</v>
      </c>
      <c r="F6" s="275">
        <f>[1]!IntrinioFinancials(ticker,"calculations",F$31,F$30,$N6)</f>
        <v>0.21797800000000001</v>
      </c>
      <c r="G6" s="282">
        <f>[1]!IntrinioFinancials(ticker,"calculations",G$31,G$30,$N6)</f>
        <v>0.218891</v>
      </c>
      <c r="H6" s="274">
        <f>[1]!IntrinioFinancials(ticker,"calculations",H$31,H$30,$N6)</f>
        <v>0.205318</v>
      </c>
      <c r="I6" s="275">
        <f>[1]!IntrinioFinancials(ticker,"calculations",I$31,I$30,$N6)</f>
        <v>1.1938660000000001</v>
      </c>
      <c r="J6" s="275">
        <f>[1]!IntrinioFinancials(ticker,"calculations",J$31,J$30,$N6)</f>
        <v>0.23125699999999999</v>
      </c>
      <c r="K6" s="275">
        <f>[1]!IntrinioFinancials(ticker,"calculations",K$31,K$30,$N6)</f>
        <v>0.107517</v>
      </c>
      <c r="L6" s="243"/>
      <c r="M6" s="243"/>
      <c r="N6" s="243" t="s">
        <v>187</v>
      </c>
    </row>
    <row r="7" spans="1:14" ht="21.45" customHeight="1" x14ac:dyDescent="0.3">
      <c r="B7" s="292" t="s">
        <v>186</v>
      </c>
      <c r="C7" s="321">
        <f>[1]!IntrinioFinancials(ticker,"calculations",C$31,C$30,$N7)</f>
        <v>-15.386100000000001</v>
      </c>
      <c r="D7" s="294">
        <f>[1]!IntrinioFinancials(ticker,"calculations",D$31,D$30,$N7)</f>
        <v>-9.7383000000000006</v>
      </c>
      <c r="E7" s="294">
        <f>[1]!IntrinioFinancials(ticker,"calculations",E$31,E$30,$N7)</f>
        <v>-11.0549</v>
      </c>
      <c r="F7" s="294">
        <f>[1]!IntrinioFinancials(ticker,"calculations",F$31,F$30,$N7)</f>
        <v>-15.3355</v>
      </c>
      <c r="G7" s="322">
        <f>[1]!IntrinioFinancials(ticker,"calculations",G$31,G$30,$N7)</f>
        <v>-19.9589</v>
      </c>
      <c r="H7" s="323">
        <f>[1]!IntrinioFinancials(ticker,"calculations",H$31,H$30,$N7)</f>
        <v>-17.544799999999999</v>
      </c>
      <c r="I7" s="294">
        <f>[1]!IntrinioFinancials(ticker,"calculations",I$31,I$30,$N7)</f>
        <v>-15.3355</v>
      </c>
      <c r="J7" s="294">
        <f>[1]!IntrinioFinancials(ticker,"calculations",J$31,J$30,$N7)</f>
        <v>-14.987399999999999</v>
      </c>
      <c r="K7" s="294">
        <f>[1]!IntrinioFinancials(ticker,"calculations",K$31,K$30,$N7)</f>
        <v>-19.9589</v>
      </c>
      <c r="L7" s="17"/>
      <c r="M7" s="17"/>
      <c r="N7" s="17" t="s">
        <v>188</v>
      </c>
    </row>
    <row r="8" spans="1:14" ht="21.45" customHeight="1" x14ac:dyDescent="0.3">
      <c r="B8" s="320" t="s">
        <v>197</v>
      </c>
      <c r="C8" s="274" t="str">
        <f>[1]!IntrinioFinancials(ticker,"calculations",C$31,C$30,$N8)</f>
        <v>nm</v>
      </c>
      <c r="D8" s="275" t="str">
        <f>[1]!IntrinioFinancials(ticker,"calculations",D$31,D$30,$N8)</f>
        <v>nm</v>
      </c>
      <c r="E8" s="275" t="str">
        <f>[1]!IntrinioFinancials(ticker,"calculations",E$31,E$30,$N8)</f>
        <v>nm</v>
      </c>
      <c r="F8" s="275" t="str">
        <f>[1]!IntrinioFinancials(ticker,"calculations",F$31,F$30,$N8)</f>
        <v>nm</v>
      </c>
      <c r="G8" s="282" t="str">
        <f>[1]!IntrinioFinancials(ticker,"calculations",G$31,G$30,$N8)</f>
        <v>nm</v>
      </c>
      <c r="H8" s="274" t="str">
        <f>[1]!IntrinioFinancials(ticker,"calculations",H$31,H$30,$N8)</f>
        <v>nm</v>
      </c>
      <c r="I8" s="275" t="str">
        <f>[1]!IntrinioFinancials(ticker,"calculations",I$31,I$30,$N8)</f>
        <v>nm</v>
      </c>
      <c r="J8" s="275" t="str">
        <f>[1]!IntrinioFinancials(ticker,"calculations",J$31,J$30,$N8)</f>
        <v>nm</v>
      </c>
      <c r="K8" s="275" t="str">
        <f>[1]!IntrinioFinancials(ticker,"calculations",K$31,K$30,$N8)</f>
        <v>nm</v>
      </c>
      <c r="L8" s="17"/>
      <c r="M8" s="17"/>
      <c r="N8" s="17" t="s">
        <v>189</v>
      </c>
    </row>
    <row r="9" spans="1:14" ht="21.45" customHeight="1" x14ac:dyDescent="0.3">
      <c r="B9" s="336"/>
      <c r="C9" s="337"/>
      <c r="D9" s="337"/>
      <c r="E9" s="337"/>
      <c r="F9" s="337"/>
      <c r="G9" s="337"/>
      <c r="H9" s="337"/>
      <c r="I9" s="337"/>
      <c r="J9" s="337"/>
      <c r="K9" s="337"/>
      <c r="L9" s="17"/>
      <c r="M9" s="17"/>
      <c r="N9" s="17"/>
    </row>
    <row r="10" spans="1:14" ht="21.45" customHeight="1" x14ac:dyDescent="0.3">
      <c r="B10" s="271" t="s">
        <v>191</v>
      </c>
      <c r="C10" s="277"/>
      <c r="D10" s="247"/>
      <c r="E10" s="247"/>
      <c r="F10" s="247"/>
      <c r="G10" s="278"/>
      <c r="H10" s="277"/>
      <c r="I10" s="247"/>
      <c r="J10" s="247"/>
      <c r="K10" s="247"/>
    </row>
    <row r="11" spans="1:14" s="242" customFormat="1" ht="21.45" customHeight="1" x14ac:dyDescent="0.35">
      <c r="B11" s="293" t="s">
        <v>192</v>
      </c>
      <c r="C11" s="274">
        <f>[1]!IntrinioFinancials(ticker,"calculations",C$31,C$30,$N11)</f>
        <v>7.2420000000000002E-3</v>
      </c>
      <c r="D11" s="275">
        <f>[1]!IntrinioFinancials(ticker,"calculations",D$31,D$30,$N11)</f>
        <v>6.8760000000000002E-3</v>
      </c>
      <c r="E11" s="275">
        <f>[1]!IntrinioFinancials(ticker,"calculations",E$31,E$30,$N11)</f>
        <v>1.3635E-2</v>
      </c>
      <c r="F11" s="275">
        <f>[1]!IntrinioFinancials(ticker,"calculations",F$31,F$30,$N11)</f>
        <v>1.1871E-2</v>
      </c>
      <c r="G11" s="282">
        <f>[1]!IntrinioFinancials(ticker,"calculations",G$31,G$30,$N11)</f>
        <v>1.257E-2</v>
      </c>
      <c r="H11" s="274">
        <f>[1]!IntrinioFinancials(ticker,"calculations",H$31,H$30,$N11)</f>
        <v>4.1279999999999997E-3</v>
      </c>
      <c r="I11" s="275">
        <f>[1]!IntrinioFinancials(ticker,"calculations",I$31,I$30,$N11)</f>
        <v>1.89E-3</v>
      </c>
      <c r="J11" s="275">
        <f>[1]!IntrinioFinancials(ticker,"calculations",J$31,J$30,$N11)</f>
        <v>3.192E-3</v>
      </c>
      <c r="K11" s="275">
        <f>[1]!IntrinioFinancials(ticker,"calculations",K$31,K$30,$N11)</f>
        <v>2.454E-3</v>
      </c>
      <c r="L11" s="243"/>
      <c r="M11" s="243"/>
      <c r="N11" s="243" t="s">
        <v>218</v>
      </c>
    </row>
    <row r="12" spans="1:14" ht="21.45" customHeight="1" x14ac:dyDescent="0.3">
      <c r="B12" s="292" t="s">
        <v>193</v>
      </c>
      <c r="C12" s="326" t="str">
        <f>[1]!IntrinioFinancials(ticker,"calculations",C$31,C$30,$N12)</f>
        <v>nm</v>
      </c>
      <c r="D12" s="327" t="str">
        <f>[1]!IntrinioFinancials(ticker,"calculations",D$31,D$30,$N12)</f>
        <v>nm</v>
      </c>
      <c r="E12" s="327" t="str">
        <f>[1]!IntrinioFinancials(ticker,"calculations",E$31,E$30,$N12)</f>
        <v>nm</v>
      </c>
      <c r="F12" s="327" t="str">
        <f>[1]!IntrinioFinancials(ticker,"calculations",F$31,F$30,$N12)</f>
        <v>nm</v>
      </c>
      <c r="G12" s="328" t="str">
        <f>[1]!IntrinioFinancials(ticker,"calculations",G$31,G$30,$N12)</f>
        <v>nm</v>
      </c>
      <c r="H12" s="329" t="str">
        <f>[1]!IntrinioFinancials(ticker,"calculations",H$31,H$30,$N12)</f>
        <v>nm</v>
      </c>
      <c r="I12" s="327" t="str">
        <f>[1]!IntrinioFinancials(ticker,"calculations",I$31,I$30,$N12)</f>
        <v>nm</v>
      </c>
      <c r="J12" s="327" t="str">
        <f>[1]!IntrinioFinancials(ticker,"calculations",J$31,J$30,$N12)</f>
        <v>nm</v>
      </c>
      <c r="K12" s="327" t="str">
        <f>[1]!IntrinioFinancials(ticker,"calculations",K$31,K$30,$N12)</f>
        <v>nm</v>
      </c>
      <c r="N12" s="243" t="s">
        <v>219</v>
      </c>
    </row>
    <row r="13" spans="1:14" s="242" customFormat="1" ht="21.45" customHeight="1" x14ac:dyDescent="0.35">
      <c r="B13" s="293" t="s">
        <v>194</v>
      </c>
      <c r="C13" s="330">
        <f>[1]!IntrinioFinancials(ticker,"calculations",C$31,C$30,$N13)</f>
        <v>-1.1315999999999999</v>
      </c>
      <c r="D13" s="331">
        <f>[1]!IntrinioFinancials(ticker,"calculations",D$31,D$30,$N13)</f>
        <v>-1.1789000000000001</v>
      </c>
      <c r="E13" s="331">
        <f>[1]!IntrinioFinancials(ticker,"calculations",E$31,E$30,$N13)</f>
        <v>-1.1580999999999999</v>
      </c>
      <c r="F13" s="331">
        <f>[1]!IntrinioFinancials(ticker,"calculations",F$31,F$30,$N13)</f>
        <v>-1.1435999999999999</v>
      </c>
      <c r="G13" s="332">
        <f>[1]!IntrinioFinancials(ticker,"calculations",G$31,G$30,$N13)</f>
        <v>-1.1093</v>
      </c>
      <c r="H13" s="330">
        <f>[1]!IntrinioFinancials(ticker,"calculations",H$31,H$30,$N13)</f>
        <v>-1.1413</v>
      </c>
      <c r="I13" s="331">
        <f>[1]!IntrinioFinancials(ticker,"calculations",I$31,I$30,$N13)</f>
        <v>-1.1435999999999999</v>
      </c>
      <c r="J13" s="331">
        <f>[1]!IntrinioFinancials(ticker,"calculations",J$31,J$30,$N13)</f>
        <v>-1.1353</v>
      </c>
      <c r="K13" s="331">
        <f>[1]!IntrinioFinancials(ticker,"calculations",K$31,K$30,$N13)</f>
        <v>-1.1093</v>
      </c>
      <c r="L13" s="243"/>
      <c r="M13" s="243"/>
      <c r="N13" s="243" t="s">
        <v>220</v>
      </c>
    </row>
    <row r="14" spans="1:14" ht="21.45" customHeight="1" x14ac:dyDescent="0.3">
      <c r="B14" s="333" t="s">
        <v>195</v>
      </c>
      <c r="C14" s="326" t="str">
        <f>[1]!IntrinioFinancials(ticker,"calculations",C$31,C$30,$N14)</f>
        <v>nm</v>
      </c>
      <c r="D14" s="327" t="str">
        <f>[1]!IntrinioFinancials(ticker,"calculations",D$31,D$30,$N14)</f>
        <v>nm</v>
      </c>
      <c r="E14" s="327" t="str">
        <f>[1]!IntrinioFinancials(ticker,"calculations",E$31,E$30,$N14)</f>
        <v>nm</v>
      </c>
      <c r="F14" s="327" t="str">
        <f>[1]!IntrinioFinancials(ticker,"calculations",F$31,F$30,$N14)</f>
        <v>nm</v>
      </c>
      <c r="G14" s="328" t="str">
        <f>[1]!IntrinioFinancials(ticker,"calculations",G$31,G$30,$N14)</f>
        <v>nm</v>
      </c>
      <c r="H14" s="329" t="str">
        <f>[1]!IntrinioFinancials(ticker,"calculations",H$31,H$30,$N14)</f>
        <v>nm</v>
      </c>
      <c r="I14" s="327" t="str">
        <f>[1]!IntrinioFinancials(ticker,"calculations",I$31,I$30,$N14)</f>
        <v>nm</v>
      </c>
      <c r="J14" s="327" t="str">
        <f>[1]!IntrinioFinancials(ticker,"calculations",J$31,J$30,$N14)</f>
        <v>nm</v>
      </c>
      <c r="K14" s="327" t="str">
        <f>[1]!IntrinioFinancials(ticker,"calculations",K$31,K$30,$N14)</f>
        <v>nm</v>
      </c>
      <c r="L14" s="17"/>
      <c r="M14" s="17"/>
      <c r="N14" s="243" t="s">
        <v>221</v>
      </c>
    </row>
    <row r="15" spans="1:14" ht="21.45" customHeight="1" x14ac:dyDescent="0.3">
      <c r="B15" s="320" t="s">
        <v>196</v>
      </c>
      <c r="C15" s="274">
        <f>[1]!IntrinioFinancials(ticker,"calculations",C$31,C$30,$N15)</f>
        <v>0.462482</v>
      </c>
      <c r="D15" s="275">
        <f>[1]!IntrinioFinancials(ticker,"calculations",D$31,D$30,$N15)</f>
        <v>0.369033</v>
      </c>
      <c r="E15" s="275">
        <f>[1]!IntrinioFinancials(ticker,"calculations",E$31,E$30,$N15)</f>
        <v>0.36867499999999997</v>
      </c>
      <c r="F15" s="275">
        <f>[1]!IntrinioFinancials(ticker,"calculations",F$31,F$30,$N15)</f>
        <v>0.49363600000000002</v>
      </c>
      <c r="G15" s="282">
        <f>[1]!IntrinioFinancials(ticker,"calculations",G$31,G$30,$N15)</f>
        <v>0.491282</v>
      </c>
      <c r="H15" s="274">
        <f>[1]!IntrinioFinancials(ticker,"calculations",H$31,H$30,$N15)</f>
        <v>0.45372600000000002</v>
      </c>
      <c r="I15" s="275">
        <f>[1]!IntrinioFinancials(ticker,"calculations",I$31,I$30,$N15)</f>
        <v>0.49363600000000002</v>
      </c>
      <c r="J15" s="275">
        <f>[1]!IntrinioFinancials(ticker,"calculations",J$31,J$30,$N15)</f>
        <v>0.46054299999999998</v>
      </c>
      <c r="K15" s="275">
        <f>[1]!IntrinioFinancials(ticker,"calculations",K$31,K$30,$N15)</f>
        <v>0.491282</v>
      </c>
      <c r="N15" s="243" t="s">
        <v>33</v>
      </c>
    </row>
    <row r="16" spans="1:14" ht="12.9" customHeight="1" x14ac:dyDescent="0.3">
      <c r="B16" s="334"/>
      <c r="C16" s="335"/>
      <c r="D16" s="335"/>
      <c r="E16" s="335"/>
      <c r="F16" s="335"/>
      <c r="G16" s="335"/>
      <c r="H16" s="335"/>
      <c r="I16" s="335"/>
      <c r="J16" s="335"/>
      <c r="K16" s="335"/>
      <c r="N16" s="243"/>
    </row>
    <row r="17" spans="2:14" ht="21.9" customHeight="1" x14ac:dyDescent="0.3">
      <c r="B17" s="117"/>
      <c r="C17" s="117"/>
      <c r="D17" s="117"/>
      <c r="E17" s="117"/>
      <c r="F17" s="117"/>
      <c r="G17" s="117"/>
      <c r="H17" s="117"/>
      <c r="I17" s="117"/>
      <c r="J17" s="117"/>
      <c r="K17" s="117"/>
      <c r="L17" s="17"/>
      <c r="M17" s="17"/>
      <c r="N17" s="17"/>
    </row>
    <row r="18" spans="2:14" ht="21.9" customHeight="1" x14ac:dyDescent="0.3">
      <c r="B18" s="117"/>
      <c r="C18" s="117"/>
      <c r="D18" s="117"/>
      <c r="E18" s="117"/>
      <c r="F18" s="117"/>
      <c r="G18" s="117"/>
      <c r="H18" s="117"/>
      <c r="I18" s="117"/>
      <c r="J18" s="117"/>
      <c r="K18" s="117"/>
      <c r="L18" s="17"/>
      <c r="M18" s="17"/>
      <c r="N18" s="17"/>
    </row>
    <row r="19" spans="2:14" ht="21.9" customHeight="1" x14ac:dyDescent="0.3">
      <c r="B19" s="117"/>
      <c r="C19" s="117"/>
      <c r="D19" s="117"/>
      <c r="E19" s="117"/>
      <c r="F19" s="117"/>
      <c r="G19" s="117"/>
      <c r="H19" s="117"/>
      <c r="I19" s="117"/>
      <c r="J19" s="117"/>
      <c r="K19" s="117"/>
      <c r="L19" s="17"/>
      <c r="M19" s="17"/>
      <c r="N19" s="17"/>
    </row>
    <row r="20" spans="2:14" ht="21.9" customHeight="1" x14ac:dyDescent="0.3">
      <c r="B20" s="117"/>
      <c r="C20" s="117"/>
      <c r="D20" s="117"/>
      <c r="E20" s="117"/>
      <c r="F20" s="117"/>
      <c r="G20" s="117"/>
      <c r="H20" s="117"/>
      <c r="I20" s="117"/>
      <c r="J20" s="117"/>
      <c r="K20" s="117"/>
      <c r="L20" s="17"/>
      <c r="M20" s="17"/>
      <c r="N20" s="17"/>
    </row>
    <row r="21" spans="2:14" ht="21.9" customHeight="1" x14ac:dyDescent="0.3">
      <c r="B21" s="117"/>
      <c r="C21" s="117"/>
      <c r="D21" s="117"/>
      <c r="E21" s="117"/>
      <c r="F21" s="117"/>
      <c r="G21" s="117"/>
      <c r="H21" s="117"/>
      <c r="I21" s="117"/>
      <c r="J21" s="117"/>
      <c r="K21" s="117"/>
      <c r="L21" s="17"/>
      <c r="M21" s="17"/>
      <c r="N21" s="17"/>
    </row>
    <row r="22" spans="2:14" ht="21.9" customHeight="1" x14ac:dyDescent="0.3">
      <c r="B22" s="117"/>
      <c r="C22" s="117"/>
      <c r="D22" s="117"/>
      <c r="E22" s="117"/>
      <c r="F22" s="117"/>
      <c r="G22" s="117"/>
      <c r="H22" s="117"/>
      <c r="I22" s="117"/>
      <c r="J22" s="117"/>
      <c r="K22" s="117"/>
      <c r="L22" s="17"/>
      <c r="M22" s="17"/>
      <c r="N22" s="17"/>
    </row>
    <row r="23" spans="2:14" ht="21.9" customHeight="1" x14ac:dyDescent="0.3">
      <c r="B23" s="117"/>
      <c r="C23" s="117"/>
      <c r="D23" s="117"/>
      <c r="E23" s="117"/>
      <c r="F23" s="117"/>
      <c r="G23" s="117"/>
      <c r="H23" s="117"/>
      <c r="I23" s="117"/>
      <c r="J23" s="117"/>
      <c r="K23" s="117"/>
      <c r="L23" s="17"/>
      <c r="M23" s="17"/>
      <c r="N23" s="17"/>
    </row>
    <row r="24" spans="2:14" ht="21.9" customHeight="1" x14ac:dyDescent="0.3">
      <c r="B24" s="117"/>
      <c r="C24" s="117"/>
      <c r="D24" s="117"/>
      <c r="E24" s="117"/>
      <c r="F24" s="117"/>
      <c r="G24" s="117"/>
      <c r="H24" s="117"/>
      <c r="I24" s="117"/>
      <c r="J24" s="117"/>
      <c r="K24" s="117"/>
      <c r="L24" s="17"/>
      <c r="M24" s="17"/>
      <c r="N24" s="17"/>
    </row>
    <row r="25" spans="2:14" ht="21.9" customHeight="1" x14ac:dyDescent="0.3">
      <c r="B25" s="117"/>
      <c r="C25" s="117"/>
      <c r="D25" s="117"/>
      <c r="E25" s="117"/>
      <c r="F25" s="117"/>
      <c r="G25" s="117"/>
      <c r="H25" s="117"/>
      <c r="I25" s="117"/>
      <c r="J25" s="117"/>
      <c r="K25" s="117"/>
      <c r="L25" s="17"/>
      <c r="M25" s="17"/>
      <c r="N25" s="17"/>
    </row>
    <row r="26" spans="2:14" ht="21.9" customHeight="1" x14ac:dyDescent="0.3">
      <c r="B26" s="117"/>
      <c r="C26" s="117"/>
      <c r="D26" s="117"/>
      <c r="E26" s="117"/>
      <c r="F26" s="117"/>
      <c r="G26" s="117"/>
      <c r="H26" s="117"/>
      <c r="I26" s="117"/>
      <c r="J26" s="117"/>
      <c r="K26" s="117"/>
      <c r="L26" s="17"/>
      <c r="M26" s="17"/>
      <c r="N26" s="17"/>
    </row>
    <row r="27" spans="2:14" ht="21.9" customHeight="1" x14ac:dyDescent="0.3">
      <c r="B27" s="117"/>
      <c r="C27" s="117"/>
      <c r="D27" s="117"/>
      <c r="E27" s="117"/>
      <c r="F27" s="117"/>
      <c r="G27" s="117"/>
      <c r="H27" s="117"/>
      <c r="I27" s="117"/>
      <c r="J27" s="117"/>
      <c r="K27" s="117"/>
      <c r="L27" s="17"/>
      <c r="M27" s="17"/>
      <c r="N27" s="17"/>
    </row>
    <row r="28" spans="2:14" ht="21.9" customHeight="1" x14ac:dyDescent="0.3">
      <c r="B28" s="117"/>
      <c r="C28" s="117"/>
      <c r="D28" s="117"/>
      <c r="E28" s="117"/>
      <c r="F28" s="117"/>
      <c r="G28" s="117"/>
      <c r="H28" s="117"/>
      <c r="I28" s="117"/>
      <c r="J28" s="117"/>
      <c r="K28" s="117"/>
      <c r="L28" s="17"/>
      <c r="M28" s="17"/>
      <c r="N28" s="17"/>
    </row>
    <row r="29" spans="2:14" ht="21.9" customHeight="1" x14ac:dyDescent="0.3">
      <c r="B29" s="117"/>
      <c r="C29" s="117"/>
      <c r="D29" s="117"/>
      <c r="E29" s="117"/>
      <c r="F29" s="117"/>
      <c r="G29" s="117"/>
      <c r="H29" s="117"/>
      <c r="I29" s="117"/>
      <c r="J29" s="117"/>
      <c r="K29" s="117"/>
      <c r="L29" s="49"/>
      <c r="M29" s="49"/>
      <c r="N29" s="17"/>
    </row>
    <row r="30" spans="2:14" ht="21.9" customHeight="1" x14ac:dyDescent="0.3">
      <c r="B30" s="28"/>
      <c r="C30" s="244" t="str">
        <f>D30</f>
        <v>FY</v>
      </c>
      <c r="D30" s="244" t="str">
        <f>E30</f>
        <v>FY</v>
      </c>
      <c r="E30" s="244" t="str">
        <f>F30</f>
        <v>FY</v>
      </c>
      <c r="F30" s="244" t="s">
        <v>137</v>
      </c>
      <c r="G30" s="244" t="str">
        <f>[1]!IntrinioFundamentals(ticker,"income_statement","TTM",G32,"fiscal_period")</f>
        <v>Q2TTM</v>
      </c>
      <c r="H30" s="244" t="str">
        <f>I30</f>
        <v>QTR</v>
      </c>
      <c r="I30" s="244" t="str">
        <f>J30</f>
        <v>QTR</v>
      </c>
      <c r="J30" s="244" t="str">
        <f>K30</f>
        <v>QTR</v>
      </c>
      <c r="K30" s="244" t="s">
        <v>138</v>
      </c>
      <c r="L30" s="49"/>
      <c r="M30" s="49"/>
      <c r="N30" s="17"/>
    </row>
    <row r="31" spans="2:14" ht="21.9" customHeight="1" x14ac:dyDescent="0.3">
      <c r="B31" s="28"/>
      <c r="C31" s="28">
        <f t="shared" ref="C31:I31" si="0">D31+1</f>
        <v>3</v>
      </c>
      <c r="D31" s="28">
        <f t="shared" si="0"/>
        <v>2</v>
      </c>
      <c r="E31" s="28">
        <f>F31+1</f>
        <v>1</v>
      </c>
      <c r="F31" s="28">
        <f>IF(G30="FY",1,0)</f>
        <v>0</v>
      </c>
      <c r="G31" s="28">
        <f>[1]!IntrinioFundamentals(ticker,"income_statement","TTM",G32,"fiscal_year")</f>
        <v>2019</v>
      </c>
      <c r="H31" s="28">
        <f t="shared" si="0"/>
        <v>3</v>
      </c>
      <c r="I31" s="28">
        <f t="shared" si="0"/>
        <v>2</v>
      </c>
      <c r="J31" s="28">
        <f>K31+1</f>
        <v>1</v>
      </c>
      <c r="K31" s="28">
        <v>0</v>
      </c>
      <c r="L31" s="49"/>
      <c r="M31" s="49"/>
      <c r="N31" s="17"/>
    </row>
    <row r="32" spans="2:14" ht="21.9" customHeight="1" x14ac:dyDescent="0.3">
      <c r="B32" s="28"/>
      <c r="C32" s="28"/>
      <c r="D32" s="28"/>
      <c r="E32" s="28"/>
      <c r="F32" s="28"/>
      <c r="G32" s="28">
        <v>0</v>
      </c>
      <c r="H32" s="28"/>
      <c r="I32" s="28"/>
      <c r="J32" s="28"/>
      <c r="K32" s="28"/>
      <c r="L32" s="51"/>
      <c r="M32" s="49"/>
      <c r="N32" s="17"/>
    </row>
    <row r="33" spans="2:14" ht="21.9" customHeight="1" x14ac:dyDescent="0.3">
      <c r="B33" s="28"/>
      <c r="C33" s="28"/>
      <c r="D33" s="28"/>
      <c r="E33" s="28"/>
      <c r="F33" s="28"/>
      <c r="G33" s="28"/>
      <c r="H33" s="28"/>
      <c r="I33" s="28"/>
      <c r="J33" s="28"/>
      <c r="K33" s="28"/>
      <c r="L33" s="16"/>
      <c r="M33" s="17"/>
      <c r="N33" s="17"/>
    </row>
    <row r="34" spans="2:14" ht="21.9" customHeight="1" x14ac:dyDescent="0.3">
      <c r="B34" s="28"/>
      <c r="C34" s="28"/>
      <c r="D34" s="28"/>
      <c r="E34" s="28"/>
      <c r="F34" s="28"/>
      <c r="G34" s="28"/>
      <c r="H34" s="28"/>
      <c r="I34" s="28"/>
      <c r="J34" s="28"/>
      <c r="K34" s="28"/>
      <c r="L34" s="17"/>
      <c r="M34" s="17"/>
      <c r="N34" s="17"/>
    </row>
    <row r="35" spans="2:14" ht="21.9" customHeight="1" x14ac:dyDescent="0.3">
      <c r="B35" s="28"/>
      <c r="C35" s="28"/>
      <c r="D35" s="28"/>
      <c r="E35" s="28"/>
      <c r="F35" s="28"/>
      <c r="G35" s="28"/>
      <c r="H35" s="28"/>
      <c r="I35" s="28"/>
      <c r="J35" s="28"/>
      <c r="K35" s="28"/>
    </row>
    <row r="36" spans="2:14" ht="23.85" customHeight="1" x14ac:dyDescent="0.3">
      <c r="B36" s="28"/>
      <c r="C36" s="28"/>
      <c r="D36" s="28"/>
      <c r="E36" s="28"/>
      <c r="F36" s="28"/>
      <c r="G36" s="28"/>
      <c r="H36" s="28"/>
      <c r="I36" s="28"/>
      <c r="J36" s="28"/>
      <c r="K36" s="28"/>
    </row>
    <row r="37" spans="2:14" ht="15.75" customHeight="1" x14ac:dyDescent="0.3">
      <c r="C37" s="3"/>
      <c r="D37" s="3"/>
      <c r="E37" s="3"/>
      <c r="F37" s="3"/>
      <c r="G37" s="3"/>
      <c r="H37" s="3"/>
      <c r="I37" s="3"/>
      <c r="J37" s="3"/>
      <c r="K37" s="3"/>
      <c r="L37" s="20"/>
    </row>
    <row r="38" spans="2:14" x14ac:dyDescent="0.3">
      <c r="C38" s="3"/>
      <c r="D38" s="3"/>
      <c r="E38" s="3"/>
      <c r="F38" s="3"/>
      <c r="G38" s="3"/>
      <c r="H38" s="3"/>
      <c r="I38" s="3"/>
      <c r="J38" s="3"/>
      <c r="K38" s="3"/>
      <c r="L38" s="20"/>
    </row>
    <row r="39" spans="2:14" x14ac:dyDescent="0.3">
      <c r="C39" s="3"/>
      <c r="D39" s="3"/>
      <c r="E39" s="3"/>
      <c r="F39" s="3"/>
      <c r="G39" s="3"/>
      <c r="H39" s="3"/>
      <c r="I39" s="3"/>
      <c r="J39" s="3"/>
      <c r="K39" s="3"/>
      <c r="L39" s="20"/>
    </row>
    <row r="40" spans="2:14" x14ac:dyDescent="0.3">
      <c r="C40" s="3"/>
      <c r="D40" s="3"/>
      <c r="E40" s="3"/>
      <c r="F40" s="3"/>
      <c r="G40" s="3"/>
      <c r="H40" s="3"/>
      <c r="I40" s="3"/>
      <c r="J40" s="3"/>
      <c r="K40" s="3"/>
      <c r="L40" s="20"/>
    </row>
    <row r="41" spans="2:14" x14ac:dyDescent="0.3">
      <c r="C41" s="3"/>
      <c r="D41" s="3"/>
      <c r="E41" s="3"/>
      <c r="F41" s="3"/>
      <c r="G41" s="3"/>
      <c r="H41" s="3"/>
      <c r="I41" s="3"/>
      <c r="J41" s="3"/>
      <c r="K41" s="3"/>
      <c r="L41" s="20"/>
    </row>
    <row r="42" spans="2:14" x14ac:dyDescent="0.3">
      <c r="C42" s="3"/>
      <c r="D42" s="3"/>
      <c r="E42" s="3"/>
      <c r="F42" s="3"/>
      <c r="G42" s="3"/>
      <c r="H42" s="3"/>
      <c r="I42" s="3"/>
      <c r="J42" s="3"/>
      <c r="K42" s="3"/>
    </row>
    <row r="43" spans="2:14" x14ac:dyDescent="0.3">
      <c r="C43" s="3"/>
      <c r="D43" s="3"/>
      <c r="E43" s="3"/>
      <c r="F43" s="3"/>
      <c r="G43" s="3"/>
      <c r="H43" s="3"/>
      <c r="I43" s="3"/>
      <c r="J43" s="3"/>
      <c r="K43" s="3"/>
      <c r="L43" s="19"/>
    </row>
    <row r="44" spans="2:14" x14ac:dyDescent="0.3">
      <c r="C44" s="3"/>
      <c r="D44" s="3"/>
      <c r="E44" s="3"/>
      <c r="F44" s="3"/>
      <c r="G44" s="3"/>
      <c r="H44" s="3"/>
      <c r="I44" s="3"/>
      <c r="J44" s="3"/>
      <c r="K44" s="3"/>
    </row>
    <row r="45" spans="2:14" x14ac:dyDescent="0.3">
      <c r="C45" s="3"/>
      <c r="D45" s="3"/>
      <c r="E45" s="3"/>
      <c r="F45" s="3"/>
      <c r="G45" s="3"/>
      <c r="H45" s="3"/>
      <c r="I45" s="3"/>
      <c r="J45" s="3"/>
      <c r="K45" s="3"/>
    </row>
    <row r="46" spans="2:14" x14ac:dyDescent="0.3">
      <c r="C46" s="3"/>
      <c r="D46" s="3"/>
      <c r="E46" s="3"/>
      <c r="F46" s="3"/>
      <c r="G46" s="3"/>
      <c r="H46" s="3"/>
      <c r="I46" s="3"/>
      <c r="J46" s="3"/>
      <c r="K46" s="3"/>
    </row>
    <row r="47" spans="2:14" x14ac:dyDescent="0.3">
      <c r="C47" s="3"/>
      <c r="D47" s="3"/>
      <c r="E47" s="3"/>
      <c r="F47" s="3"/>
      <c r="G47" s="3"/>
      <c r="H47" s="3"/>
      <c r="I47" s="3"/>
      <c r="J47" s="3"/>
      <c r="K47" s="3"/>
    </row>
    <row r="48" spans="2:14" x14ac:dyDescent="0.3">
      <c r="C48" s="3"/>
      <c r="D48" s="3"/>
      <c r="E48" s="3"/>
      <c r="F48" s="3"/>
      <c r="G48" s="3"/>
      <c r="H48" s="3"/>
      <c r="I48" s="3"/>
      <c r="J48" s="3"/>
      <c r="K48" s="3"/>
    </row>
    <row r="49" spans="3:11" x14ac:dyDescent="0.3">
      <c r="C49" s="3"/>
      <c r="D49" s="3"/>
      <c r="E49" s="3"/>
      <c r="F49" s="3"/>
      <c r="G49" s="3"/>
      <c r="H49" s="3"/>
      <c r="I49" s="3"/>
      <c r="J49" s="3"/>
      <c r="K49" s="3"/>
    </row>
  </sheetData>
  <mergeCells count="2">
    <mergeCell ref="C3:G3"/>
    <mergeCell ref="H3:K3"/>
  </mergeCells>
  <conditionalFormatting sqref="L37:L39">
    <cfRule type="cellIs" dxfId="17" priority="1" operator="greaterThan">
      <formula>0</formula>
    </cfRule>
    <cfRule type="cellIs" dxfId="16" priority="2" operator="lessThan">
      <formula>0</formula>
    </cfRule>
  </conditionalFormatting>
  <pageMargins left="0.7" right="0.7" top="0.75" bottom="0.75" header="0.3" footer="0.3"/>
  <pageSetup scale="80" orientation="landscape" r:id="rId1"/>
  <headerFooter>
    <oddHeader>&amp;LApple Inc (AAPL)          $116.52&amp;RReport Date: 12/26/2016</oddHeader>
    <oddFooter>&amp;L&amp;G&amp;R&amp;P</oddFoot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theme="7"/>
    <pageSetUpPr fitToPage="1"/>
  </sheetPr>
  <dimension ref="A1:N49"/>
  <sheetViews>
    <sheetView showGridLines="0" view="pageBreakPreview" zoomScale="80" zoomScaleNormal="100" zoomScaleSheetLayoutView="80" workbookViewId="0"/>
  </sheetViews>
  <sheetFormatPr defaultColWidth="9.109375" defaultRowHeight="14.4" x14ac:dyDescent="0.3"/>
  <cols>
    <col min="1" max="1" width="2.44140625" style="18" customWidth="1"/>
    <col min="2" max="2" width="43.44140625" style="18" bestFit="1" customWidth="1"/>
    <col min="3" max="11" width="10.88671875" style="18" customWidth="1"/>
    <col min="12" max="12" width="0.88671875" style="18" customWidth="1"/>
    <col min="13" max="13" width="15.44140625" style="18" customWidth="1"/>
    <col min="14" max="14" width="23.44140625" style="18" bestFit="1" customWidth="1"/>
    <col min="15" max="16384" width="9.109375" style="18"/>
  </cols>
  <sheetData>
    <row r="1" spans="1:14" ht="16.2" x14ac:dyDescent="0.35">
      <c r="A1" s="23" t="s">
        <v>209</v>
      </c>
    </row>
    <row r="3" spans="1:14" ht="21.75" customHeight="1" x14ac:dyDescent="0.3">
      <c r="B3" s="103"/>
      <c r="C3" s="394" t="s">
        <v>84</v>
      </c>
      <c r="D3" s="395"/>
      <c r="E3" s="395"/>
      <c r="F3" s="395"/>
      <c r="G3" s="397"/>
      <c r="H3" s="394" t="s">
        <v>85</v>
      </c>
      <c r="I3" s="395"/>
      <c r="J3" s="395"/>
      <c r="K3" s="395"/>
    </row>
    <row r="4" spans="1:14" ht="21.9" customHeight="1" x14ac:dyDescent="0.3">
      <c r="B4" s="104"/>
      <c r="C4" s="105" t="str">
        <f>"FY "&amp;[1]!IntrinioFundamentals(ticker,"income_statement",C30,C31,"fiscal_year")</f>
        <v>FY 2015</v>
      </c>
      <c r="D4" s="106" t="str">
        <f>"FY "&amp;[1]!IntrinioFundamentals(ticker,"income_statement",D30,D31,"fiscal_year")</f>
        <v>FY 2016</v>
      </c>
      <c r="E4" s="106" t="str">
        <f>"FY "&amp;[1]!IntrinioFundamentals(ticker,"income_statement",E30,E31,"fiscal_year")</f>
        <v>FY 2017</v>
      </c>
      <c r="F4" s="106" t="str">
        <f>"FY "&amp;[1]!IntrinioFundamentals(ticker,"income_statement",F30,F31,"fiscal_year")</f>
        <v>FY 2018</v>
      </c>
      <c r="G4" s="276" t="str">
        <f>G30&amp; " " &amp;G31</f>
        <v>Q2TTM 2019</v>
      </c>
      <c r="H4" s="105" t="str">
        <f>[1]!IntrinioFundamentals(ticker,"income_statement",H30,H31,"fiscal_period")&amp;" "&amp;[1]!IntrinioFundamentals(ticker,"income_statement",H30,H31,"fiscal_year")</f>
        <v>Q3 2018</v>
      </c>
      <c r="I4" s="106" t="str">
        <f>[1]!IntrinioFundamentals(ticker,"income_statement",I30,I31,"fiscal_period")&amp;" "&amp;[1]!IntrinioFundamentals(ticker,"income_statement",I30,I31,"fiscal_year")</f>
        <v>Q4 2018</v>
      </c>
      <c r="J4" s="106" t="str">
        <f>[1]!IntrinioFundamentals(ticker,"income_statement",J30,J31,"fiscal_period")&amp;" "&amp;[1]!IntrinioFundamentals(ticker,"income_statement",J30,J31,"fiscal_year")</f>
        <v>Q1 2019</v>
      </c>
      <c r="K4" s="106" t="str">
        <f>[1]!IntrinioFundamentals(ticker,"income_statement",K30,K31,"fiscal_period")&amp;" "&amp;[1]!IntrinioFundamentals(ticker,"income_statement",K30,K31,"fiscal_year")</f>
        <v>Q2 2019</v>
      </c>
      <c r="M4" s="1"/>
    </row>
    <row r="5" spans="1:14" ht="21.45" customHeight="1" x14ac:dyDescent="0.3">
      <c r="B5" s="271" t="s">
        <v>202</v>
      </c>
      <c r="C5" s="277"/>
      <c r="D5" s="247"/>
      <c r="E5" s="247"/>
      <c r="F5" s="247"/>
      <c r="G5" s="278"/>
      <c r="H5" s="246"/>
      <c r="I5" s="247"/>
      <c r="J5" s="247"/>
      <c r="K5" s="247"/>
    </row>
    <row r="6" spans="1:14" s="242" customFormat="1" ht="21.45" customHeight="1" x14ac:dyDescent="0.35">
      <c r="B6" s="293" t="s">
        <v>198</v>
      </c>
      <c r="C6" s="347">
        <f>[1]!IntrinioFinancials(ticker,"calculations",C$31,C$30,$N6)</f>
        <v>26.790700000000001</v>
      </c>
      <c r="D6" s="348">
        <f>[1]!IntrinioFinancials(ticker,"calculations",D$31,D$30,$N6)</f>
        <v>27.592600000000001</v>
      </c>
      <c r="E6" s="348">
        <f>[1]!IntrinioFinancials(ticker,"calculations",E$31,E$30,$N6)</f>
        <v>26.772300000000001</v>
      </c>
      <c r="F6" s="348">
        <f>[1]!IntrinioFinancials(ticker,"calculations",F$31,F$30,$N6)</f>
        <v>28.213799999999999</v>
      </c>
      <c r="G6" s="349">
        <f>[1]!IntrinioFinancials(ticker,"calculations",G$31,G$30,$N6)</f>
        <v>21.149799999999999</v>
      </c>
      <c r="H6" s="347">
        <f>[1]!IntrinioFinancials(ticker,"calculations",H$31,H$30,$N6)</f>
        <v>15.7776</v>
      </c>
      <c r="I6" s="348">
        <f>[1]!IntrinioFinancials(ticker,"calculations",I$31,I$30,$N6)</f>
        <v>28.213799999999999</v>
      </c>
      <c r="J6" s="348">
        <f>[1]!IntrinioFinancials(ticker,"calculations",J$31,J$30,$N6)</f>
        <v>28.962199999999999</v>
      </c>
      <c r="K6" s="348">
        <f>[1]!IntrinioFinancials(ticker,"calculations",K$31,K$30,$N6)</f>
        <v>21.149799999999999</v>
      </c>
      <c r="L6" s="243"/>
      <c r="M6" s="243"/>
      <c r="N6" s="243" t="s">
        <v>222</v>
      </c>
    </row>
    <row r="7" spans="1:14" ht="21.45" customHeight="1" x14ac:dyDescent="0.3">
      <c r="B7" s="333" t="s">
        <v>200</v>
      </c>
      <c r="C7" s="343">
        <f>[1]!IntrinioFinancials(ticker,"calculations",C$31,C$30,$N7)</f>
        <v>5.8102</v>
      </c>
      <c r="D7" s="344">
        <f>[1]!IntrinioFinancials(ticker,"calculations",D$31,D$30,$N7)</f>
        <v>6.2247000000000003</v>
      </c>
      <c r="E7" s="344">
        <f>[1]!IntrinioFinancials(ticker,"calculations",E$31,E$30,$N7)</f>
        <v>9.0404</v>
      </c>
      <c r="F7" s="344">
        <f>[1]!IntrinioFinancials(ticker,"calculations",F$31,F$30,$N7)</f>
        <v>9.8194999999999997</v>
      </c>
      <c r="G7" s="345">
        <f>[1]!IntrinioFinancials(ticker,"calculations",G$31,G$30,$N7)</f>
        <v>14.732799999999999</v>
      </c>
      <c r="H7" s="346">
        <f>[1]!IntrinioFinancials(ticker,"calculations",H$31,H$30,$N7)</f>
        <v>7.9352</v>
      </c>
      <c r="I7" s="344">
        <f>[1]!IntrinioFinancials(ticker,"calculations",I$31,I$30,$N7)</f>
        <v>9.8194999999999997</v>
      </c>
      <c r="J7" s="344">
        <f>[1]!IntrinioFinancials(ticker,"calculations",J$31,J$30,$N7)</f>
        <v>10.622299999999999</v>
      </c>
      <c r="K7" s="344">
        <f>[1]!IntrinioFinancials(ticker,"calculations",K$31,K$30,$N7)</f>
        <v>14.732799999999999</v>
      </c>
      <c r="L7" s="17"/>
      <c r="M7" s="17"/>
      <c r="N7" s="243" t="s">
        <v>223</v>
      </c>
    </row>
    <row r="8" spans="1:14" ht="21.45" customHeight="1" x14ac:dyDescent="0.3">
      <c r="B8" s="320" t="s">
        <v>199</v>
      </c>
      <c r="C8" s="347">
        <f>-[1]!IntrinioFinancials(ticker,"calculations",C$31,C$30,$N8)</f>
        <v>-85.572000000000003</v>
      </c>
      <c r="D8" s="348">
        <f>-[1]!IntrinioFinancials(ticker,"calculations",D$31,D$30,$N8)</f>
        <v>-101.1074</v>
      </c>
      <c r="E8" s="348">
        <f>-[1]!IntrinioFinancials(ticker,"calculations",E$31,E$30,$N8)</f>
        <v>-105.4983</v>
      </c>
      <c r="F8" s="348">
        <f>-[1]!IntrinioFinancials(ticker,"calculations",F$31,F$30,$N8)</f>
        <v>-111.5912</v>
      </c>
      <c r="G8" s="349">
        <f>-[1]!IntrinioFinancials(ticker,"calculations",G$31,G$30,$N8)</f>
        <v>-76.040999999999997</v>
      </c>
      <c r="H8" s="347">
        <f>-[1]!IntrinioFinancials(ticker,"calculations",H$31,H$30,$N8)</f>
        <v>-61.514000000000003</v>
      </c>
      <c r="I8" s="348">
        <f>-[1]!IntrinioFinancials(ticker,"calculations",I$31,I$30,$N8)</f>
        <v>-111.5912</v>
      </c>
      <c r="J8" s="348">
        <f>-[1]!IntrinioFinancials(ticker,"calculations",J$31,J$30,$N8)</f>
        <v>-121.11199999999999</v>
      </c>
      <c r="K8" s="348">
        <f>-[1]!IntrinioFinancials(ticker,"calculations",K$31,K$30,$N8)</f>
        <v>-76.040999999999997</v>
      </c>
      <c r="L8" s="17"/>
      <c r="M8" s="17"/>
      <c r="N8" s="243" t="s">
        <v>224</v>
      </c>
    </row>
    <row r="9" spans="1:14" ht="21.45" customHeight="1" x14ac:dyDescent="0.3">
      <c r="B9" s="333" t="s">
        <v>201</v>
      </c>
      <c r="C9" s="343">
        <f>[1]!IntrinioFinancials(ticker,"calculations",C$31,C$30,$N9)</f>
        <v>-52.970999999999997</v>
      </c>
      <c r="D9" s="344">
        <f>[1]!IntrinioFinancials(ticker,"calculations",D$31,D$30,$N9)</f>
        <v>-67.290000000000006</v>
      </c>
      <c r="E9" s="344">
        <f>[1]!IntrinioFinancials(ticker,"calculations",E$31,E$30,$N9)</f>
        <v>-69.685599999999994</v>
      </c>
      <c r="F9" s="344">
        <f>[1]!IntrinioFinancials(ticker,"calculations",F$31,F$30,$N9)</f>
        <v>-73.5578</v>
      </c>
      <c r="G9" s="345">
        <f>[1]!IntrinioFinancials(ticker,"calculations",G$31,G$30,$N9)</f>
        <v>-40.158299999999997</v>
      </c>
      <c r="H9" s="346">
        <f>[1]!IntrinioFinancials(ticker,"calculations",H$31,H$30,$N9)</f>
        <v>-37.801200000000001</v>
      </c>
      <c r="I9" s="344">
        <f>[1]!IntrinioFinancials(ticker,"calculations",I$31,I$30,$N9)</f>
        <v>-73.5578</v>
      </c>
      <c r="J9" s="344">
        <f>[1]!IntrinioFinancials(ticker,"calculations",J$31,J$30,$N9)</f>
        <v>-81.527500000000003</v>
      </c>
      <c r="K9" s="344">
        <f>[1]!IntrinioFinancials(ticker,"calculations",K$31,K$30,$N9)</f>
        <v>-40.158299999999997</v>
      </c>
      <c r="L9" s="17"/>
      <c r="M9" s="17"/>
      <c r="N9" s="243" t="s">
        <v>225</v>
      </c>
    </row>
    <row r="10" spans="1:14" ht="21.45" customHeight="1" x14ac:dyDescent="0.3">
      <c r="B10" s="336"/>
      <c r="C10" s="337"/>
      <c r="D10" s="337"/>
      <c r="E10" s="337"/>
      <c r="F10" s="337"/>
      <c r="G10" s="337"/>
      <c r="H10" s="337"/>
      <c r="I10" s="337"/>
      <c r="J10" s="337"/>
      <c r="K10" s="337"/>
      <c r="L10" s="17"/>
      <c r="M10" s="17"/>
      <c r="N10" s="17"/>
    </row>
    <row r="11" spans="1:14" ht="21.45" customHeight="1" x14ac:dyDescent="0.3">
      <c r="B11" s="271" t="s">
        <v>203</v>
      </c>
      <c r="C11" s="277"/>
      <c r="D11" s="247"/>
      <c r="E11" s="247"/>
      <c r="F11" s="247"/>
      <c r="G11" s="278"/>
      <c r="H11" s="277"/>
      <c r="I11" s="247"/>
      <c r="J11" s="247"/>
      <c r="K11" s="247"/>
    </row>
    <row r="12" spans="1:14" s="242" customFormat="1" ht="21.45" customHeight="1" x14ac:dyDescent="0.35">
      <c r="B12" s="293" t="s">
        <v>204</v>
      </c>
      <c r="C12" s="347">
        <f>[1]!IntrinioFinancials(ticker,"calculations",C$31,C$30,$N12)</f>
        <v>1.1088</v>
      </c>
      <c r="D12" s="348">
        <f>[1]!IntrinioFinancials(ticker,"calculations",D$31,D$30,$N12)</f>
        <v>1.3527</v>
      </c>
      <c r="E12" s="348">
        <f>[1]!IntrinioFinancials(ticker,"calculations",E$31,E$30,$N12)</f>
        <v>1.2761</v>
      </c>
      <c r="F12" s="348">
        <f>[1]!IntrinioFinancials(ticker,"calculations",F$31,F$30,$N12)</f>
        <v>1.1329</v>
      </c>
      <c r="G12" s="349">
        <f>[1]!IntrinioFinancials(ticker,"calculations",G$31,G$30,$N12)</f>
        <v>1.3153999999999999</v>
      </c>
      <c r="H12" s="347">
        <f>[1]!IntrinioFinancials(ticker,"calculations",H$31,H$30,$N12)</f>
        <v>1.3072999999999999</v>
      </c>
      <c r="I12" s="348">
        <f>[1]!IntrinioFinancials(ticker,"calculations",I$31,I$30,$N12)</f>
        <v>1.1329</v>
      </c>
      <c r="J12" s="348">
        <f>[1]!IntrinioFinancials(ticker,"calculations",J$31,J$30,$N12)</f>
        <v>1.3006</v>
      </c>
      <c r="K12" s="348">
        <f>[1]!IntrinioFinancials(ticker,"calculations",K$31,K$30,$N12)</f>
        <v>1.3153999999999999</v>
      </c>
      <c r="L12" s="243"/>
      <c r="M12" s="243"/>
      <c r="N12" s="243" t="s">
        <v>226</v>
      </c>
    </row>
    <row r="13" spans="1:14" ht="21.45" customHeight="1" x14ac:dyDescent="0.3">
      <c r="B13" s="292" t="s">
        <v>205</v>
      </c>
      <c r="C13" s="350">
        <f>[1]!IntrinioFinancials(ticker,"calculations",C$31,C$30,$N13)</f>
        <v>0.89249999999999996</v>
      </c>
      <c r="D13" s="351">
        <f>[1]!IntrinioFinancials(ticker,"calculations",D$31,D$30,$N13)</f>
        <v>1.2208000000000001</v>
      </c>
      <c r="E13" s="351">
        <f>[1]!IntrinioFinancials(ticker,"calculations",E$31,E$30,$N13)</f>
        <v>1.0896999999999999</v>
      </c>
      <c r="F13" s="351">
        <f>[1]!IntrinioFinancials(ticker,"calculations",F$31,F$30,$N13)</f>
        <v>0.99450000000000005</v>
      </c>
      <c r="G13" s="352">
        <f>[1]!IntrinioFinancials(ticker,"calculations",G$31,G$30,$N13)</f>
        <v>1.1343000000000001</v>
      </c>
      <c r="H13" s="353">
        <f>[1]!IntrinioFinancials(ticker,"calculations",H$31,H$30,$N13)</f>
        <v>1.0992999999999999</v>
      </c>
      <c r="I13" s="351">
        <f>[1]!IntrinioFinancials(ticker,"calculations",I$31,I$30,$N13)</f>
        <v>0.99450000000000005</v>
      </c>
      <c r="J13" s="351">
        <f>[1]!IntrinioFinancials(ticker,"calculations",J$31,J$30,$N13)</f>
        <v>1.1396999999999999</v>
      </c>
      <c r="K13" s="351">
        <f>[1]!IntrinioFinancials(ticker,"calculations",K$31,K$30,$N13)</f>
        <v>1.1343000000000001</v>
      </c>
      <c r="N13" s="243" t="s">
        <v>227</v>
      </c>
    </row>
    <row r="14" spans="1:14" s="242" customFormat="1" ht="21.45" customHeight="1" x14ac:dyDescent="0.35">
      <c r="B14" s="293" t="s">
        <v>206</v>
      </c>
      <c r="C14" s="274">
        <f>[1]!IntrinioFinancials(ticker,"calculations",C$31,C$30,$N14)</f>
        <v>-9.3417E-2</v>
      </c>
      <c r="D14" s="275">
        <f>[1]!IntrinioFinancials(ticker,"calculations",D$31,D$30,$N14)</f>
        <v>-0.12839500000000001</v>
      </c>
      <c r="E14" s="275">
        <f>[1]!IntrinioFinancials(ticker,"calculations",E$31,E$30,$N14)</f>
        <v>-0.12160899999999999</v>
      </c>
      <c r="F14" s="275">
        <f>[1]!IntrinioFinancials(ticker,"calculations",F$31,F$30,$N14)</f>
        <v>-0.113357</v>
      </c>
      <c r="G14" s="282">
        <f>[1]!IntrinioFinancials(ticker,"calculations",G$31,G$30,$N14)</f>
        <v>-0.11078200000000001</v>
      </c>
      <c r="H14" s="274">
        <f>[1]!IntrinioFinancials(ticker,"calculations",H$31,H$30,$N14)</f>
        <v>-8.5741999999999999E-2</v>
      </c>
      <c r="I14" s="275">
        <f>[1]!IntrinioFinancials(ticker,"calculations",I$31,I$30,$N14)</f>
        <v>-0.113357</v>
      </c>
      <c r="J14" s="275">
        <f>[1]!IntrinioFinancials(ticker,"calculations",J$31,J$30,$N14)</f>
        <v>-0.12285799999999999</v>
      </c>
      <c r="K14" s="275">
        <f>[1]!IntrinioFinancials(ticker,"calculations",K$31,K$30,$N14)</f>
        <v>-0.11078200000000001</v>
      </c>
      <c r="L14" s="243"/>
      <c r="M14" s="243"/>
      <c r="N14" s="243" t="s">
        <v>228</v>
      </c>
    </row>
    <row r="15" spans="1:14" ht="21.45" customHeight="1" x14ac:dyDescent="0.3">
      <c r="B15" s="333" t="s">
        <v>207</v>
      </c>
      <c r="C15" s="326">
        <f>[1]!IntrinioFinancials(ticker,"calculations",C$31,C$30,$N15)</f>
        <v>8.4582000000000004E-2</v>
      </c>
      <c r="D15" s="327">
        <f>[1]!IntrinioFinancials(ticker,"calculations",D$31,D$30,$N15)</f>
        <v>0.183028</v>
      </c>
      <c r="E15" s="327">
        <f>[1]!IntrinioFinancials(ticker,"calculations",E$31,E$30,$N15)</f>
        <v>0.20199400000000001</v>
      </c>
      <c r="F15" s="327">
        <f>[1]!IntrinioFinancials(ticker,"calculations",F$31,F$30,$N15)</f>
        <v>0.13627500000000001</v>
      </c>
      <c r="G15" s="328">
        <f>[1]!IntrinioFinancials(ticker,"calculations",G$31,G$30,$N15)</f>
        <v>0.20482900000000001</v>
      </c>
      <c r="H15" s="329">
        <f>[1]!IntrinioFinancials(ticker,"calculations",H$31,H$30,$N15)</f>
        <v>0.145762</v>
      </c>
      <c r="I15" s="327">
        <f>[1]!IntrinioFinancials(ticker,"calculations",I$31,I$30,$N15)</f>
        <v>0.13627500000000001</v>
      </c>
      <c r="J15" s="327">
        <f>[1]!IntrinioFinancials(ticker,"calculations",J$31,J$30,$N15)</f>
        <v>0.207506</v>
      </c>
      <c r="K15" s="327">
        <f>[1]!IntrinioFinancials(ticker,"calculations",K$31,K$30,$N15)</f>
        <v>0.20482900000000001</v>
      </c>
      <c r="L15" s="17"/>
      <c r="M15" s="17"/>
      <c r="N15" s="243" t="s">
        <v>229</v>
      </c>
    </row>
    <row r="16" spans="1:14" ht="21.45" customHeight="1" x14ac:dyDescent="0.3">
      <c r="B16" s="320" t="s">
        <v>208</v>
      </c>
      <c r="C16" s="274">
        <f>[1]!IntrinioFinancials(ticker,"calculations",C$31,C$30,$N16)</f>
        <v>3.7516000000000001E-2</v>
      </c>
      <c r="D16" s="275">
        <f>[1]!IntrinioFinancials(ticker,"calculations",D$31,D$30,$N16)</f>
        <v>0.12921099999999999</v>
      </c>
      <c r="E16" s="275">
        <f>[1]!IntrinioFinancials(ticker,"calculations",E$31,E$30,$N16)</f>
        <v>0.121409</v>
      </c>
      <c r="F16" s="275">
        <f>[1]!IntrinioFinancials(ticker,"calculations",F$31,F$30,$N16)</f>
        <v>5.8021000000000003E-2</v>
      </c>
      <c r="G16" s="282">
        <f>[1]!IntrinioFinancials(ticker,"calculations",G$31,G$30,$N16)</f>
        <v>0.11654</v>
      </c>
      <c r="H16" s="274">
        <f>[1]!IntrinioFinancials(ticker,"calculations",H$31,H$30,$N16)</f>
        <v>8.8769000000000001E-2</v>
      </c>
      <c r="I16" s="275">
        <f>[1]!IntrinioFinancials(ticker,"calculations",I$31,I$30,$N16)</f>
        <v>5.8021000000000003E-2</v>
      </c>
      <c r="J16" s="275">
        <f>[1]!IntrinioFinancials(ticker,"calculations",J$31,J$30,$N16)</f>
        <v>0.124402</v>
      </c>
      <c r="K16" s="275">
        <f>[1]!IntrinioFinancials(ticker,"calculations",K$31,K$30,$N16)</f>
        <v>0.11654</v>
      </c>
      <c r="N16" s="243" t="s">
        <v>230</v>
      </c>
    </row>
    <row r="17" spans="2:14" ht="12.9" customHeight="1" x14ac:dyDescent="0.3">
      <c r="B17" s="334"/>
      <c r="C17" s="335"/>
      <c r="D17" s="335"/>
      <c r="E17" s="335"/>
      <c r="F17" s="335"/>
      <c r="G17" s="335"/>
      <c r="H17" s="335"/>
      <c r="I17" s="335"/>
      <c r="J17" s="335"/>
      <c r="K17" s="335"/>
      <c r="N17" s="243"/>
    </row>
    <row r="18" spans="2:14" ht="21.9" customHeight="1" x14ac:dyDescent="0.3">
      <c r="B18" s="117"/>
      <c r="C18" s="117"/>
      <c r="D18" s="117"/>
      <c r="E18" s="117"/>
      <c r="F18" s="117"/>
      <c r="G18" s="117"/>
      <c r="H18" s="117"/>
      <c r="I18" s="117"/>
      <c r="J18" s="117"/>
      <c r="K18" s="117"/>
      <c r="L18" s="17"/>
      <c r="M18" s="17"/>
      <c r="N18" s="17"/>
    </row>
    <row r="19" spans="2:14" ht="21.9" customHeight="1" x14ac:dyDescent="0.3">
      <c r="B19" s="117"/>
      <c r="C19" s="117"/>
      <c r="D19" s="117"/>
      <c r="E19" s="117"/>
      <c r="F19" s="117"/>
      <c r="G19" s="117"/>
      <c r="H19" s="117"/>
      <c r="I19" s="117"/>
      <c r="J19" s="117"/>
      <c r="K19" s="117"/>
      <c r="L19" s="17"/>
      <c r="M19" s="17"/>
      <c r="N19" s="17"/>
    </row>
    <row r="20" spans="2:14" ht="21.9" customHeight="1" x14ac:dyDescent="0.3">
      <c r="B20" s="117"/>
      <c r="C20" s="117"/>
      <c r="D20" s="117"/>
      <c r="E20" s="117"/>
      <c r="F20" s="117"/>
      <c r="G20" s="117"/>
      <c r="H20" s="117"/>
      <c r="I20" s="117"/>
      <c r="J20" s="117"/>
      <c r="K20" s="117"/>
      <c r="L20" s="17"/>
      <c r="M20" s="17"/>
      <c r="N20" s="17"/>
    </row>
    <row r="21" spans="2:14" ht="21.9" customHeight="1" x14ac:dyDescent="0.3">
      <c r="B21" s="117"/>
      <c r="C21" s="117"/>
      <c r="D21" s="117"/>
      <c r="E21" s="117"/>
      <c r="F21" s="117"/>
      <c r="G21" s="117"/>
      <c r="H21" s="117"/>
      <c r="I21" s="117"/>
      <c r="J21" s="117"/>
      <c r="K21" s="117"/>
      <c r="L21" s="17"/>
      <c r="M21" s="17"/>
      <c r="N21" s="17"/>
    </row>
    <row r="22" spans="2:14" ht="21.9" customHeight="1" x14ac:dyDescent="0.3">
      <c r="B22" s="117"/>
      <c r="C22" s="117"/>
      <c r="D22" s="117"/>
      <c r="E22" s="117"/>
      <c r="F22" s="117"/>
      <c r="G22" s="117"/>
      <c r="H22" s="117"/>
      <c r="I22" s="117"/>
      <c r="J22" s="117"/>
      <c r="K22" s="117"/>
      <c r="L22" s="17"/>
      <c r="M22" s="17"/>
      <c r="N22" s="17"/>
    </row>
    <row r="23" spans="2:14" ht="21.9" customHeight="1" x14ac:dyDescent="0.3">
      <c r="B23" s="117"/>
      <c r="C23" s="117"/>
      <c r="D23" s="117"/>
      <c r="E23" s="117"/>
      <c r="F23" s="117"/>
      <c r="G23" s="117"/>
      <c r="H23" s="117"/>
      <c r="I23" s="117"/>
      <c r="J23" s="117"/>
      <c r="K23" s="117"/>
      <c r="L23" s="17"/>
      <c r="M23" s="17"/>
      <c r="N23" s="17"/>
    </row>
    <row r="24" spans="2:14" ht="21.9" customHeight="1" x14ac:dyDescent="0.3">
      <c r="B24" s="117"/>
      <c r="C24" s="117"/>
      <c r="D24" s="117"/>
      <c r="E24" s="117"/>
      <c r="F24" s="117"/>
      <c r="G24" s="117"/>
      <c r="H24" s="117"/>
      <c r="I24" s="117"/>
      <c r="J24" s="117"/>
      <c r="K24" s="117"/>
      <c r="L24" s="17"/>
      <c r="M24" s="17"/>
      <c r="N24" s="17"/>
    </row>
    <row r="25" spans="2:14" ht="21.9" customHeight="1" x14ac:dyDescent="0.3">
      <c r="B25" s="117"/>
      <c r="C25" s="117"/>
      <c r="D25" s="117"/>
      <c r="E25" s="117"/>
      <c r="F25" s="117"/>
      <c r="G25" s="117"/>
      <c r="H25" s="117"/>
      <c r="I25" s="117"/>
      <c r="J25" s="117"/>
      <c r="K25" s="117"/>
      <c r="L25" s="17"/>
      <c r="M25" s="17"/>
      <c r="N25" s="17"/>
    </row>
    <row r="26" spans="2:14" ht="21.9" customHeight="1" x14ac:dyDescent="0.3">
      <c r="B26" s="117"/>
      <c r="C26" s="117"/>
      <c r="D26" s="117"/>
      <c r="E26" s="117"/>
      <c r="F26" s="117"/>
      <c r="G26" s="117"/>
      <c r="H26" s="117"/>
      <c r="I26" s="117"/>
      <c r="J26" s="117"/>
      <c r="K26" s="117"/>
      <c r="L26" s="17"/>
      <c r="M26" s="17"/>
      <c r="N26" s="17"/>
    </row>
    <row r="27" spans="2:14" ht="21.9" customHeight="1" x14ac:dyDescent="0.3">
      <c r="B27" s="117"/>
      <c r="C27" s="117"/>
      <c r="D27" s="117"/>
      <c r="E27" s="117"/>
      <c r="F27" s="117"/>
      <c r="G27" s="117"/>
      <c r="H27" s="117"/>
      <c r="I27" s="117"/>
      <c r="J27" s="117"/>
      <c r="K27" s="117"/>
      <c r="L27" s="49"/>
      <c r="M27" s="49"/>
      <c r="N27" s="17"/>
    </row>
    <row r="28" spans="2:14" ht="21.9" customHeight="1" x14ac:dyDescent="0.3">
      <c r="B28" s="117"/>
      <c r="C28" s="117"/>
      <c r="D28" s="117"/>
      <c r="E28" s="117"/>
      <c r="F28" s="117"/>
      <c r="G28" s="117"/>
      <c r="H28" s="117"/>
      <c r="I28" s="117"/>
      <c r="J28" s="117"/>
      <c r="K28" s="117"/>
      <c r="L28" s="49"/>
      <c r="M28" s="49"/>
      <c r="N28" s="17"/>
    </row>
    <row r="29" spans="2:14" ht="21.9" customHeight="1" x14ac:dyDescent="0.3">
      <c r="B29" s="117"/>
      <c r="C29" s="117"/>
      <c r="D29" s="117"/>
      <c r="E29" s="117"/>
      <c r="F29" s="117"/>
      <c r="G29" s="117"/>
      <c r="H29" s="117"/>
      <c r="I29" s="117"/>
      <c r="J29" s="117"/>
      <c r="K29" s="117"/>
      <c r="L29" s="49"/>
      <c r="M29" s="49"/>
      <c r="N29" s="17"/>
    </row>
    <row r="30" spans="2:14" ht="21.9" customHeight="1" x14ac:dyDescent="0.3">
      <c r="B30" s="28"/>
      <c r="C30" s="244" t="str">
        <f>D30</f>
        <v>FY</v>
      </c>
      <c r="D30" s="244" t="str">
        <f>E30</f>
        <v>FY</v>
      </c>
      <c r="E30" s="244" t="str">
        <f>F30</f>
        <v>FY</v>
      </c>
      <c r="F30" s="244" t="s">
        <v>137</v>
      </c>
      <c r="G30" s="244" t="str">
        <f>[1]!IntrinioFundamentals(ticker,"income_statement","TTM",G32,"fiscal_period")</f>
        <v>Q2TTM</v>
      </c>
      <c r="H30" s="244" t="str">
        <f>I30</f>
        <v>QTR</v>
      </c>
      <c r="I30" s="244" t="str">
        <f>J30</f>
        <v>QTR</v>
      </c>
      <c r="J30" s="244" t="str">
        <f>K30</f>
        <v>QTR</v>
      </c>
      <c r="K30" s="244" t="s">
        <v>138</v>
      </c>
      <c r="L30" s="49"/>
      <c r="M30" s="49"/>
      <c r="N30" s="17"/>
    </row>
    <row r="31" spans="2:14" ht="21.9" customHeight="1" x14ac:dyDescent="0.3">
      <c r="B31" s="28"/>
      <c r="C31" s="28">
        <f t="shared" ref="C31:I31" si="0">D31+1</f>
        <v>3</v>
      </c>
      <c r="D31" s="28">
        <f t="shared" si="0"/>
        <v>2</v>
      </c>
      <c r="E31" s="28">
        <f>F31+1</f>
        <v>1</v>
      </c>
      <c r="F31" s="28">
        <f>IF(G30="FY",1,0)</f>
        <v>0</v>
      </c>
      <c r="G31" s="28">
        <f>[1]!IntrinioFundamentals(ticker,"income_statement","TTM",G32,"fiscal_year")</f>
        <v>2019</v>
      </c>
      <c r="H31" s="28">
        <f t="shared" si="0"/>
        <v>3</v>
      </c>
      <c r="I31" s="28">
        <f t="shared" si="0"/>
        <v>2</v>
      </c>
      <c r="J31" s="28">
        <f>K31+1</f>
        <v>1</v>
      </c>
      <c r="K31" s="28">
        <v>0</v>
      </c>
      <c r="L31" s="49"/>
      <c r="M31" s="49"/>
      <c r="N31" s="17"/>
    </row>
    <row r="32" spans="2:14" ht="21.9" customHeight="1" x14ac:dyDescent="0.3">
      <c r="B32" s="28"/>
      <c r="C32" s="28"/>
      <c r="D32" s="28"/>
      <c r="E32" s="28"/>
      <c r="F32" s="28"/>
      <c r="G32" s="28">
        <v>0</v>
      </c>
      <c r="H32" s="28"/>
      <c r="I32" s="28"/>
      <c r="J32" s="28"/>
      <c r="K32" s="28"/>
      <c r="L32" s="51"/>
      <c r="M32" s="49"/>
      <c r="N32" s="17"/>
    </row>
    <row r="33" spans="2:14" ht="21.9" customHeight="1" x14ac:dyDescent="0.3">
      <c r="B33" s="28"/>
      <c r="C33" s="28"/>
      <c r="D33" s="28"/>
      <c r="E33" s="28"/>
      <c r="F33" s="28"/>
      <c r="G33" s="28"/>
      <c r="H33" s="28"/>
      <c r="I33" s="28"/>
      <c r="J33" s="28"/>
      <c r="K33" s="28"/>
      <c r="L33" s="16"/>
      <c r="M33" s="17"/>
      <c r="N33" s="17"/>
    </row>
    <row r="34" spans="2:14" ht="21.9" customHeight="1" x14ac:dyDescent="0.3">
      <c r="B34" s="28"/>
      <c r="C34" s="28"/>
      <c r="D34" s="28"/>
      <c r="E34" s="28"/>
      <c r="F34" s="28"/>
      <c r="G34" s="28"/>
      <c r="H34" s="28"/>
      <c r="I34" s="28"/>
      <c r="J34" s="28"/>
      <c r="K34" s="28"/>
      <c r="L34" s="17"/>
      <c r="M34" s="17"/>
      <c r="N34" s="17"/>
    </row>
    <row r="35" spans="2:14" ht="21.9" customHeight="1" x14ac:dyDescent="0.3">
      <c r="B35" s="28"/>
      <c r="C35" s="28"/>
      <c r="D35" s="28"/>
      <c r="E35" s="28"/>
      <c r="F35" s="28"/>
      <c r="G35" s="28"/>
      <c r="H35" s="28"/>
      <c r="I35" s="28"/>
      <c r="J35" s="28"/>
      <c r="K35" s="28"/>
    </row>
    <row r="36" spans="2:14" ht="23.85" customHeight="1" x14ac:dyDescent="0.3">
      <c r="B36" s="28"/>
      <c r="C36" s="28"/>
      <c r="D36" s="28"/>
      <c r="E36" s="28"/>
      <c r="F36" s="28"/>
      <c r="G36" s="28"/>
      <c r="H36" s="28"/>
      <c r="I36" s="28"/>
      <c r="J36" s="28"/>
      <c r="K36" s="28"/>
    </row>
    <row r="37" spans="2:14" ht="15.75" customHeight="1" x14ac:dyDescent="0.3">
      <c r="C37" s="3"/>
      <c r="D37" s="3"/>
      <c r="E37" s="3"/>
      <c r="F37" s="3"/>
      <c r="G37" s="3"/>
      <c r="H37" s="3"/>
      <c r="I37" s="3"/>
      <c r="J37" s="3"/>
      <c r="K37" s="3"/>
      <c r="L37" s="20"/>
    </row>
    <row r="38" spans="2:14" x14ac:dyDescent="0.3">
      <c r="C38" s="3"/>
      <c r="D38" s="3"/>
      <c r="E38" s="3"/>
      <c r="F38" s="3"/>
      <c r="G38" s="3"/>
      <c r="H38" s="3"/>
      <c r="I38" s="3"/>
      <c r="J38" s="3"/>
      <c r="K38" s="3"/>
      <c r="L38" s="20"/>
    </row>
    <row r="39" spans="2:14" x14ac:dyDescent="0.3">
      <c r="C39" s="3"/>
      <c r="D39" s="3"/>
      <c r="E39" s="3"/>
      <c r="F39" s="3"/>
      <c r="G39" s="3"/>
      <c r="H39" s="3"/>
      <c r="I39" s="3"/>
      <c r="J39" s="3"/>
      <c r="K39" s="3"/>
      <c r="L39" s="20"/>
    </row>
    <row r="40" spans="2:14" x14ac:dyDescent="0.3">
      <c r="C40" s="3"/>
      <c r="D40" s="3"/>
      <c r="E40" s="3"/>
      <c r="F40" s="3"/>
      <c r="G40" s="3"/>
      <c r="H40" s="3"/>
      <c r="I40" s="3"/>
      <c r="J40" s="3"/>
      <c r="K40" s="3"/>
      <c r="L40" s="20"/>
    </row>
    <row r="41" spans="2:14" x14ac:dyDescent="0.3">
      <c r="C41" s="3"/>
      <c r="D41" s="3"/>
      <c r="E41" s="3"/>
      <c r="F41" s="3"/>
      <c r="G41" s="3"/>
      <c r="H41" s="3"/>
      <c r="I41" s="3"/>
      <c r="J41" s="3"/>
      <c r="K41" s="3"/>
      <c r="L41" s="20"/>
    </row>
    <row r="42" spans="2:14" x14ac:dyDescent="0.3">
      <c r="C42" s="3"/>
      <c r="D42" s="3"/>
      <c r="E42" s="3"/>
      <c r="F42" s="3"/>
      <c r="G42" s="3"/>
      <c r="H42" s="3"/>
      <c r="I42" s="3"/>
      <c r="J42" s="3"/>
      <c r="K42" s="3"/>
    </row>
    <row r="43" spans="2:14" x14ac:dyDescent="0.3">
      <c r="C43" s="3"/>
      <c r="D43" s="3"/>
      <c r="E43" s="3"/>
      <c r="F43" s="3"/>
      <c r="G43" s="3"/>
      <c r="H43" s="3"/>
      <c r="I43" s="3"/>
      <c r="J43" s="3"/>
      <c r="K43" s="3"/>
      <c r="L43" s="19"/>
    </row>
    <row r="44" spans="2:14" x14ac:dyDescent="0.3">
      <c r="C44" s="3"/>
      <c r="D44" s="3"/>
      <c r="E44" s="3"/>
      <c r="F44" s="3"/>
      <c r="G44" s="3"/>
      <c r="H44" s="3"/>
      <c r="I44" s="3"/>
      <c r="J44" s="3"/>
      <c r="K44" s="3"/>
    </row>
    <row r="45" spans="2:14" x14ac:dyDescent="0.3">
      <c r="C45" s="3"/>
      <c r="D45" s="3"/>
      <c r="E45" s="3"/>
      <c r="F45" s="3"/>
      <c r="G45" s="3"/>
      <c r="H45" s="3"/>
      <c r="I45" s="3"/>
      <c r="J45" s="3"/>
      <c r="K45" s="3"/>
    </row>
    <row r="46" spans="2:14" x14ac:dyDescent="0.3">
      <c r="C46" s="3"/>
      <c r="D46" s="3"/>
      <c r="E46" s="3"/>
      <c r="F46" s="3"/>
      <c r="G46" s="3"/>
      <c r="H46" s="3"/>
      <c r="I46" s="3"/>
      <c r="J46" s="3"/>
      <c r="K46" s="3"/>
    </row>
    <row r="47" spans="2:14" x14ac:dyDescent="0.3">
      <c r="C47" s="3"/>
      <c r="D47" s="3"/>
      <c r="E47" s="3"/>
      <c r="F47" s="3"/>
      <c r="G47" s="3"/>
      <c r="H47" s="3"/>
      <c r="I47" s="3"/>
      <c r="J47" s="3"/>
      <c r="K47" s="3"/>
    </row>
    <row r="48" spans="2:14" x14ac:dyDescent="0.3">
      <c r="C48" s="3"/>
      <c r="D48" s="3"/>
      <c r="E48" s="3"/>
      <c r="F48" s="3"/>
      <c r="G48" s="3"/>
      <c r="H48" s="3"/>
      <c r="I48" s="3"/>
      <c r="J48" s="3"/>
      <c r="K48" s="3"/>
    </row>
    <row r="49" spans="3:11" x14ac:dyDescent="0.3">
      <c r="C49" s="3"/>
      <c r="D49" s="3"/>
      <c r="E49" s="3"/>
      <c r="F49" s="3"/>
      <c r="G49" s="3"/>
      <c r="H49" s="3"/>
      <c r="I49" s="3"/>
      <c r="J49" s="3"/>
      <c r="K49" s="3"/>
    </row>
  </sheetData>
  <mergeCells count="2">
    <mergeCell ref="C3:G3"/>
    <mergeCell ref="H3:K3"/>
  </mergeCells>
  <conditionalFormatting sqref="L37:L39">
    <cfRule type="cellIs" dxfId="15" priority="1" operator="greaterThan">
      <formula>0</formula>
    </cfRule>
    <cfRule type="cellIs" dxfId="14" priority="2" operator="lessThan">
      <formula>0</formula>
    </cfRule>
  </conditionalFormatting>
  <pageMargins left="0.7" right="0.7" top="0.75" bottom="0.75" header="0.3" footer="0.3"/>
  <pageSetup scale="80" orientation="landscape" r:id="rId1"/>
  <headerFooter>
    <oddHeader>&amp;LApple Inc (AAPL)          $116.52&amp;RReport Date: 12/26/2016</oddHeader>
    <oddFooter>&amp;L&amp;G&amp;R&amp;P</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pageSetUpPr fitToPage="1"/>
  </sheetPr>
  <dimension ref="A1:N48"/>
  <sheetViews>
    <sheetView showGridLines="0" view="pageBreakPreview" zoomScale="80" zoomScaleNormal="100" zoomScaleSheetLayoutView="80" workbookViewId="0"/>
  </sheetViews>
  <sheetFormatPr defaultColWidth="9.109375" defaultRowHeight="14.4" x14ac:dyDescent="0.3"/>
  <cols>
    <col min="1" max="1" width="2.44140625" style="18" customWidth="1"/>
    <col min="2" max="2" width="40.21875" style="18" bestFit="1" customWidth="1"/>
    <col min="3" max="11" width="10.88671875" style="18" customWidth="1"/>
    <col min="12" max="12" width="0.88671875" style="18" customWidth="1"/>
    <col min="13" max="13" width="15.44140625" style="18" customWidth="1"/>
    <col min="14" max="14" width="23.44140625" style="18" bestFit="1" customWidth="1"/>
    <col min="15" max="16384" width="9.109375" style="18"/>
  </cols>
  <sheetData>
    <row r="1" spans="1:14" ht="16.2" x14ac:dyDescent="0.35">
      <c r="A1" s="23" t="s">
        <v>160</v>
      </c>
    </row>
    <row r="3" spans="1:14" ht="21.75" customHeight="1" x14ac:dyDescent="0.3">
      <c r="B3" s="103"/>
      <c r="C3" s="394" t="s">
        <v>84</v>
      </c>
      <c r="D3" s="395"/>
      <c r="E3" s="395"/>
      <c r="F3" s="395"/>
      <c r="G3" s="397"/>
      <c r="H3" s="394" t="s">
        <v>85</v>
      </c>
      <c r="I3" s="395"/>
      <c r="J3" s="395"/>
      <c r="K3" s="395"/>
    </row>
    <row r="4" spans="1:14" ht="21.9" customHeight="1" x14ac:dyDescent="0.3">
      <c r="B4" s="104"/>
      <c r="C4" s="105" t="str">
        <f>"FY "&amp;[1]!IntrinioFundamentals(ticker,"income_statement",C29,C30,"fiscal_year")</f>
        <v>FY 2015</v>
      </c>
      <c r="D4" s="106" t="str">
        <f>"FY "&amp;[1]!IntrinioFundamentals(ticker,"income_statement",D29,D30,"fiscal_year")</f>
        <v>FY 2016</v>
      </c>
      <c r="E4" s="106" t="str">
        <f>"FY "&amp;[1]!IntrinioFundamentals(ticker,"income_statement",E29,E30,"fiscal_year")</f>
        <v>FY 2017</v>
      </c>
      <c r="F4" s="106" t="str">
        <f>"FY "&amp;[1]!IntrinioFundamentals(ticker,"income_statement",F29,F30,"fiscal_year")</f>
        <v>FY 2018</v>
      </c>
      <c r="G4" s="276" t="str">
        <f>G29&amp; " " &amp;G30</f>
        <v>Q2TTM 2019</v>
      </c>
      <c r="H4" s="105" t="str">
        <f>[1]!IntrinioFundamentals(ticker,"income_statement",H29,H30,"fiscal_period")&amp;" "&amp;[1]!IntrinioFundamentals(ticker,"income_statement",H29,H30,"fiscal_year")</f>
        <v>Q3 2018</v>
      </c>
      <c r="I4" s="106" t="str">
        <f>[1]!IntrinioFundamentals(ticker,"income_statement",I29,I30,"fiscal_period")&amp;" "&amp;[1]!IntrinioFundamentals(ticker,"income_statement",I29,I30,"fiscal_year")</f>
        <v>Q4 2018</v>
      </c>
      <c r="J4" s="106" t="str">
        <f>[1]!IntrinioFundamentals(ticker,"income_statement",J29,J30,"fiscal_period")&amp;" "&amp;[1]!IntrinioFundamentals(ticker,"income_statement",J29,J30,"fiscal_year")</f>
        <v>Q1 2019</v>
      </c>
      <c r="K4" s="106" t="str">
        <f>[1]!IntrinioFundamentals(ticker,"income_statement",K29,K30,"fiscal_period")&amp;" "&amp;[1]!IntrinioFundamentals(ticker,"income_statement",K29,K30,"fiscal_year")</f>
        <v>Q2 2019</v>
      </c>
      <c r="M4" s="1"/>
    </row>
    <row r="5" spans="1:14" ht="21.45" customHeight="1" x14ac:dyDescent="0.3">
      <c r="B5" s="271" t="s">
        <v>166</v>
      </c>
      <c r="C5" s="277"/>
      <c r="D5" s="247"/>
      <c r="E5" s="247"/>
      <c r="F5" s="247"/>
      <c r="G5" s="278"/>
      <c r="H5" s="246"/>
      <c r="I5" s="247"/>
      <c r="J5" s="247"/>
      <c r="K5" s="247"/>
    </row>
    <row r="6" spans="1:14" s="242" customFormat="1" ht="21.45" customHeight="1" x14ac:dyDescent="0.35">
      <c r="B6" s="293" t="s">
        <v>161</v>
      </c>
      <c r="C6" s="274">
        <f>[1]!IntrinioFinancials(ticker,"calculations",C$30,C$29,$N6)</f>
        <v>5.9885000000000001E-2</v>
      </c>
      <c r="D6" s="275">
        <f>[1]!IntrinioFinancials(ticker,"calculations",D$30,D$29,$N6)</f>
        <v>5.3906000000000003E-2</v>
      </c>
      <c r="E6" s="275">
        <f>[1]!IntrinioFinancials(ticker,"calculations",E$30,E$29,$N6)</f>
        <v>7.3972999999999997E-2</v>
      </c>
      <c r="F6" s="275">
        <f>[1]!IntrinioFinancials(ticker,"calculations",F$30,F$29,$N6)</f>
        <v>9.3762999999999999E-2</v>
      </c>
      <c r="G6" s="282">
        <f>[1]!IntrinioFinancials(ticker,"calculations",G$30,G$29,$N6)</f>
        <v>0.10255599999999999</v>
      </c>
      <c r="H6" s="274">
        <f>[1]!IntrinioFinancials(ticker,"calculations",H$30,H$29,$N6)</f>
        <v>7.6114000000000001E-2</v>
      </c>
      <c r="I6" s="275">
        <f>[1]!IntrinioFinancials(ticker,"calculations",I$30,I$29,$N6)</f>
        <v>9.3762999999999999E-2</v>
      </c>
      <c r="J6" s="275">
        <f>[1]!IntrinioFinancials(ticker,"calculations",J$30,J$29,$N6)</f>
        <v>9.3461000000000002E-2</v>
      </c>
      <c r="K6" s="275">
        <f>[1]!IntrinioFinancials(ticker,"calculations",K$30,K$29,$N6)</f>
        <v>0.10255599999999999</v>
      </c>
      <c r="L6" s="243"/>
      <c r="M6" s="243"/>
      <c r="N6" s="243" t="s">
        <v>167</v>
      </c>
    </row>
    <row r="7" spans="1:14" ht="21.45" customHeight="1" x14ac:dyDescent="0.3">
      <c r="B7" s="292" t="s">
        <v>162</v>
      </c>
      <c r="C7" s="283">
        <f>[1]!IntrinioFinancials(ticker,"calculations",C$30,C$29,$N7)</f>
        <v>0.29032999999999998</v>
      </c>
      <c r="D7" s="273">
        <f>[1]!IntrinioFinancials(ticker,"calculations",D$30,D$29,$N7)</f>
        <v>0.35036499999999998</v>
      </c>
      <c r="E7" s="273">
        <f>[1]!IntrinioFinancials(ticker,"calculations",E$30,E$29,$N7)</f>
        <v>0.38925300000000002</v>
      </c>
      <c r="F7" s="273">
        <f>[1]!IntrinioFinancials(ticker,"calculations",F$30,F$29,$N7)</f>
        <v>0.42286600000000002</v>
      </c>
      <c r="G7" s="284">
        <f>[1]!IntrinioFinancials(ticker,"calculations",G$30,G$29,$N7)</f>
        <v>0.412883</v>
      </c>
      <c r="H7" s="272">
        <f>[1]!IntrinioFinancials(ticker,"calculations",H$30,H$29,$N7)</f>
        <v>0.42312499999999997</v>
      </c>
      <c r="I7" s="273">
        <f>[1]!IntrinioFinancials(ticker,"calculations",I$30,I$29,$N7)</f>
        <v>0.42286600000000002</v>
      </c>
      <c r="J7" s="273">
        <f>[1]!IntrinioFinancials(ticker,"calculations",J$30,J$29,$N7)</f>
        <v>0.39974300000000001</v>
      </c>
      <c r="K7" s="273">
        <f>[1]!IntrinioFinancials(ticker,"calculations",K$30,K$29,$N7)</f>
        <v>0.412883</v>
      </c>
      <c r="L7" s="17"/>
      <c r="M7" s="17"/>
      <c r="N7" s="17" t="s">
        <v>168</v>
      </c>
    </row>
    <row r="8" spans="1:14" ht="21.45" customHeight="1" x14ac:dyDescent="0.3">
      <c r="B8" s="293" t="s">
        <v>163</v>
      </c>
      <c r="C8" s="274">
        <f>[1]!IntrinioFinancials(ticker,"calculations",C$30,C$29,$N8)</f>
        <v>0</v>
      </c>
      <c r="D8" s="275">
        <f>[1]!IntrinioFinancials(ticker,"calculations",D$30,D$29,$N8)</f>
        <v>0</v>
      </c>
      <c r="E8" s="275">
        <f>[1]!IntrinioFinancials(ticker,"calculations",E$30,E$29,$N8)</f>
        <v>0</v>
      </c>
      <c r="F8" s="275">
        <f>[1]!IntrinioFinancials(ticker,"calculations",F$30,F$29,$N8)</f>
        <v>0</v>
      </c>
      <c r="G8" s="282">
        <f>[1]!IntrinioFinancials(ticker,"calculations",G$30,G$29,$N8)</f>
        <v>0</v>
      </c>
      <c r="H8" s="274">
        <f>[1]!IntrinioFinancials(ticker,"calculations",H$30,H$29,$N8)</f>
        <v>0</v>
      </c>
      <c r="I8" s="275">
        <f>[1]!IntrinioFinancials(ticker,"calculations",I$30,I$29,$N8)</f>
        <v>0</v>
      </c>
      <c r="J8" s="275">
        <f>[1]!IntrinioFinancials(ticker,"calculations",J$30,J$29,$N8)</f>
        <v>0</v>
      </c>
      <c r="K8" s="275">
        <f>[1]!IntrinioFinancials(ticker,"calculations",K$30,K$29,$N8)</f>
        <v>0</v>
      </c>
      <c r="L8" s="17"/>
      <c r="M8" s="17"/>
      <c r="N8" s="17" t="s">
        <v>169</v>
      </c>
    </row>
    <row r="9" spans="1:14" s="242" customFormat="1" ht="21.45" customHeight="1" x14ac:dyDescent="0.35">
      <c r="B9" s="292" t="s">
        <v>164</v>
      </c>
      <c r="C9" s="283">
        <f>[1]!IntrinioFinancials(ticker,"calculations",C$30,C$29,$N9)</f>
        <v>0</v>
      </c>
      <c r="D9" s="273">
        <f>[1]!IntrinioFinancials(ticker,"calculations",D$30,D$29,$N9)</f>
        <v>0</v>
      </c>
      <c r="E9" s="273">
        <f>[1]!IntrinioFinancials(ticker,"calculations",E$30,E$29,$N9)</f>
        <v>0</v>
      </c>
      <c r="F9" s="273">
        <f>[1]!IntrinioFinancials(ticker,"calculations",F$30,F$29,$N9)</f>
        <v>0</v>
      </c>
      <c r="G9" s="284">
        <f>[1]!IntrinioFinancials(ticker,"calculations",G$30,G$29,$N9)</f>
        <v>0</v>
      </c>
      <c r="H9" s="272">
        <f>[1]!IntrinioFinancials(ticker,"calculations",H$30,H$29,$N9)</f>
        <v>0</v>
      </c>
      <c r="I9" s="273">
        <f>[1]!IntrinioFinancials(ticker,"calculations",I$30,I$29,$N9)</f>
        <v>0</v>
      </c>
      <c r="J9" s="273">
        <f>[1]!IntrinioFinancials(ticker,"calculations",J$30,J$29,$N9)</f>
        <v>0</v>
      </c>
      <c r="K9" s="273">
        <f>[1]!IntrinioFinancials(ticker,"calculations",K$30,K$29,$N9)</f>
        <v>0</v>
      </c>
      <c r="L9" s="243"/>
      <c r="M9" s="243"/>
      <c r="N9" s="243" t="s">
        <v>170</v>
      </c>
    </row>
    <row r="10" spans="1:14" ht="21.45" customHeight="1" x14ac:dyDescent="0.3">
      <c r="B10" s="293" t="s">
        <v>165</v>
      </c>
      <c r="C10" s="274">
        <f>[1]!IntrinioFinancials(ticker,"calculations",C$30,C$29,$N10)</f>
        <v>0.64978400000000003</v>
      </c>
      <c r="D10" s="275">
        <f>[1]!IntrinioFinancials(ticker,"calculations",D$30,D$29,$N10)</f>
        <v>0.59572800000000004</v>
      </c>
      <c r="E10" s="275">
        <f>[1]!IntrinioFinancials(ticker,"calculations",E$30,E$29,$N10)</f>
        <v>0.53677399999999997</v>
      </c>
      <c r="F10" s="275">
        <f>[1]!IntrinioFinancials(ticker,"calculations",F$30,F$29,$N10)</f>
        <v>0.483371</v>
      </c>
      <c r="G10" s="282">
        <f>[1]!IntrinioFinancials(ticker,"calculations",G$30,G$29,$N10)</f>
        <v>0.48456100000000002</v>
      </c>
      <c r="H10" s="274">
        <f>[1]!IntrinioFinancials(ticker,"calculations",H$30,H$29,$N10)</f>
        <v>0.50075999999999998</v>
      </c>
      <c r="I10" s="275">
        <f>[1]!IntrinioFinancials(ticker,"calculations",I$30,I$29,$N10)</f>
        <v>0.483371</v>
      </c>
      <c r="J10" s="275">
        <f>[1]!IntrinioFinancials(ticker,"calculations",J$30,J$29,$N10)</f>
        <v>0.50679600000000002</v>
      </c>
      <c r="K10" s="275">
        <f>[1]!IntrinioFinancials(ticker,"calculations",K$30,K$29,$N10)</f>
        <v>0.48456100000000002</v>
      </c>
      <c r="L10" s="17"/>
      <c r="M10" s="17"/>
      <c r="N10" s="17" t="s">
        <v>171</v>
      </c>
    </row>
    <row r="11" spans="1:14" ht="21.45" customHeight="1" x14ac:dyDescent="0.3">
      <c r="B11" s="271" t="s">
        <v>181</v>
      </c>
      <c r="C11" s="277"/>
      <c r="D11" s="247"/>
      <c r="E11" s="247"/>
      <c r="F11" s="247"/>
      <c r="G11" s="278"/>
      <c r="H11" s="246"/>
      <c r="I11" s="247"/>
      <c r="J11" s="247"/>
      <c r="K11" s="247"/>
    </row>
    <row r="12" spans="1:14" s="242" customFormat="1" ht="21.45" customHeight="1" x14ac:dyDescent="0.35">
      <c r="B12" s="293" t="s">
        <v>182</v>
      </c>
      <c r="C12" s="285">
        <f>[1]!IntrinioFinancials(ticker,"calculations",C$30,C$29,$N12)</f>
        <v>0.53900000000000003</v>
      </c>
      <c r="D12" s="286">
        <f>[1]!IntrinioFinancials(ticker,"calculations",D$30,D$29,$N12)</f>
        <v>0.67859999999999998</v>
      </c>
      <c r="E12" s="286">
        <f>[1]!IntrinioFinancials(ticker,"calculations",E$30,E$29,$N12)</f>
        <v>0.86299999999999999</v>
      </c>
      <c r="F12" s="286">
        <f>[1]!IntrinioFinancials(ticker,"calculations",F$30,F$29,$N12)</f>
        <v>1.0688</v>
      </c>
      <c r="G12" s="287">
        <f>[1]!IntrinioFinancials(ticker,"calculations",G$30,G$29,$N12)</f>
        <v>1.0637000000000001</v>
      </c>
      <c r="H12" s="285">
        <f>[1]!IntrinioFinancials(ticker,"calculations",H$30,H$29,$N12)</f>
        <v>0.997</v>
      </c>
      <c r="I12" s="286">
        <f>[1]!IntrinioFinancials(ticker,"calculations",I$30,I$29,$N12)</f>
        <v>1.0688</v>
      </c>
      <c r="J12" s="286">
        <f>[1]!IntrinioFinancials(ticker,"calculations",J$30,J$29,$N12)</f>
        <v>0.97319999999999995</v>
      </c>
      <c r="K12" s="286">
        <f>[1]!IntrinioFinancials(ticker,"calculations",K$30,K$29,$N12)</f>
        <v>1.0637000000000001</v>
      </c>
      <c r="L12" s="243"/>
      <c r="M12" s="243"/>
      <c r="N12" s="243" t="s">
        <v>183</v>
      </c>
    </row>
    <row r="13" spans="1:14" ht="21.45" customHeight="1" x14ac:dyDescent="0.3">
      <c r="B13" s="317" t="s">
        <v>166</v>
      </c>
      <c r="C13" s="288"/>
      <c r="D13" s="289"/>
      <c r="E13" s="289"/>
      <c r="F13" s="289"/>
      <c r="G13" s="290"/>
      <c r="H13" s="291"/>
      <c r="I13" s="289"/>
      <c r="J13" s="289"/>
      <c r="K13" s="289"/>
    </row>
    <row r="14" spans="1:14" s="242" customFormat="1" ht="21.45" customHeight="1" x14ac:dyDescent="0.35">
      <c r="B14" s="293" t="s">
        <v>177</v>
      </c>
      <c r="C14" s="285" t="str">
        <f>[1]!IntrinioFinancials(ticker,"calculations",C$30,C$29,$N14)</f>
        <v>nm</v>
      </c>
      <c r="D14" s="286" t="str">
        <f>[1]!IntrinioFinancials(ticker,"calculations",D$30,D$29,$N14)</f>
        <v>nm</v>
      </c>
      <c r="E14" s="286" t="str">
        <f>[1]!IntrinioFinancials(ticker,"calculations",E$30,E$29,$N14)</f>
        <v>nm</v>
      </c>
      <c r="F14" s="286" t="str">
        <f>[1]!IntrinioFinancials(ticker,"calculations",F$30,F$29,$N14)</f>
        <v>nm</v>
      </c>
      <c r="G14" s="287" t="str">
        <f>[1]!IntrinioFinancials(ticker,"calculations",G$30,G$29,$N14)</f>
        <v>nm</v>
      </c>
      <c r="H14" s="285" t="str">
        <f>[1]!IntrinioFinancials(ticker,"calculations",H$30,H$29,$N14)</f>
        <v>nm</v>
      </c>
      <c r="I14" s="286" t="str">
        <f>[1]!IntrinioFinancials(ticker,"calculations",I$30,I$29,$N14)</f>
        <v>nm</v>
      </c>
      <c r="J14" s="286" t="str">
        <f>[1]!IntrinioFinancials(ticker,"calculations",J$30,J$29,$N14)</f>
        <v>nm</v>
      </c>
      <c r="K14" s="286" t="str">
        <f>[1]!IntrinioFinancials(ticker,"calculations",K$30,K$29,$N14)</f>
        <v>nm</v>
      </c>
      <c r="L14" s="243"/>
      <c r="M14" s="243"/>
      <c r="N14" s="243" t="s">
        <v>231</v>
      </c>
    </row>
    <row r="15" spans="1:14" ht="21.45" customHeight="1" x14ac:dyDescent="0.3">
      <c r="B15" s="292" t="s">
        <v>178</v>
      </c>
      <c r="C15" s="288" t="str">
        <f>[1]!IntrinioFinancials(ticker,"calculations",C$30,C$29,$N15)</f>
        <v>nm</v>
      </c>
      <c r="D15" s="289" t="str">
        <f>[1]!IntrinioFinancials(ticker,"calculations",D$30,D$29,$N15)</f>
        <v>nm</v>
      </c>
      <c r="E15" s="289" t="str">
        <f>[1]!IntrinioFinancials(ticker,"calculations",E$30,E$29,$N15)</f>
        <v>nm</v>
      </c>
      <c r="F15" s="289" t="str">
        <f>[1]!IntrinioFinancials(ticker,"calculations",F$30,F$29,$N15)</f>
        <v>nm</v>
      </c>
      <c r="G15" s="290" t="str">
        <f>[1]!IntrinioFinancials(ticker,"calculations",G$30,G$29,$N15)</f>
        <v>nm</v>
      </c>
      <c r="H15" s="291" t="str">
        <f>[1]!IntrinioFinancials(ticker,"calculations",H$30,H$29,$N15)</f>
        <v>nm</v>
      </c>
      <c r="I15" s="289" t="str">
        <f>[1]!IntrinioFinancials(ticker,"calculations",I$30,I$29,$N15)</f>
        <v>nm</v>
      </c>
      <c r="J15" s="289" t="str">
        <f>[1]!IntrinioFinancials(ticker,"calculations",J$30,J$29,$N15)</f>
        <v>nm</v>
      </c>
      <c r="K15" s="289" t="str">
        <f>[1]!IntrinioFinancials(ticker,"calculations",K$30,K$29,$N15)</f>
        <v>nm</v>
      </c>
      <c r="L15" s="17"/>
      <c r="M15" s="17"/>
      <c r="N15" s="17" t="s">
        <v>232</v>
      </c>
    </row>
    <row r="16" spans="1:14" ht="21.45" customHeight="1" x14ac:dyDescent="0.3">
      <c r="B16" s="318" t="s">
        <v>176</v>
      </c>
      <c r="C16" s="285"/>
      <c r="D16" s="286"/>
      <c r="E16" s="286"/>
      <c r="F16" s="286"/>
      <c r="G16" s="287"/>
      <c r="H16" s="285"/>
      <c r="I16" s="286"/>
      <c r="J16" s="286"/>
      <c r="K16" s="286"/>
    </row>
    <row r="17" spans="2:14" s="242" customFormat="1" ht="21.45" customHeight="1" x14ac:dyDescent="0.35">
      <c r="B17" s="292" t="s">
        <v>174</v>
      </c>
      <c r="C17" s="288">
        <f>[1]!IntrinioFinancials(ticker,"calculations",C$30,C$29,$N17)</f>
        <v>0.76790000000000003</v>
      </c>
      <c r="D17" s="289">
        <f>[1]!IntrinioFinancials(ticker,"calculations",D$30,D$29,$N17)</f>
        <v>1.2108000000000001</v>
      </c>
      <c r="E17" s="289">
        <f>[1]!IntrinioFinancials(ticker,"calculations",E$30,E$29,$N17)</f>
        <v>1.5581</v>
      </c>
      <c r="F17" s="289">
        <f>[1]!IntrinioFinancials(ticker,"calculations",F$30,F$29,$N17)</f>
        <v>1.3665</v>
      </c>
      <c r="G17" s="290">
        <f>[1]!IntrinioFinancials(ticker,"calculations",G$30,G$29,$N17)</f>
        <v>1.4208000000000001</v>
      </c>
      <c r="H17" s="291">
        <f>[1]!IntrinioFinancials(ticker,"calculations",H$30,H$29,$N17)</f>
        <v>1.4142999999999999</v>
      </c>
      <c r="I17" s="289">
        <f>[1]!IntrinioFinancials(ticker,"calculations",I$30,I$29,$N17)</f>
        <v>1.3665</v>
      </c>
      <c r="J17" s="289">
        <f>[1]!IntrinioFinancials(ticker,"calculations",J$30,J$29,$N17)</f>
        <v>1.4106000000000001</v>
      </c>
      <c r="K17" s="289">
        <f>[1]!IntrinioFinancials(ticker,"calculations",K$30,K$29,$N17)</f>
        <v>1.4208000000000001</v>
      </c>
      <c r="L17" s="243"/>
      <c r="M17" s="243"/>
      <c r="N17" s="243" t="s">
        <v>172</v>
      </c>
    </row>
    <row r="18" spans="2:14" ht="21.45" customHeight="1" x14ac:dyDescent="0.3">
      <c r="B18" s="293" t="s">
        <v>175</v>
      </c>
      <c r="C18" s="285">
        <f>[1]!IntrinioFinancials(ticker,"calculations",C$30,C$29,$N18)</f>
        <v>-1.6872</v>
      </c>
      <c r="D18" s="286">
        <f>[1]!IntrinioFinancials(ticker,"calculations",D$30,D$29,$N18)</f>
        <v>-2.0945999999999998</v>
      </c>
      <c r="E18" s="286">
        <f>[1]!IntrinioFinancials(ticker,"calculations",E$30,E$29,$N18)</f>
        <v>-2.0636000000000001</v>
      </c>
      <c r="F18" s="286">
        <f>[1]!IntrinioFinancials(ticker,"calculations",F$30,F$29,$N18)</f>
        <v>-1.4626999999999999</v>
      </c>
      <c r="G18" s="287">
        <f>[1]!IntrinioFinancials(ticker,"calculations",G$30,G$29,$N18)</f>
        <v>-1.4233</v>
      </c>
      <c r="H18" s="285">
        <f>[1]!IntrinioFinancials(ticker,"calculations",H$30,H$29,$N18)</f>
        <v>-1.5936999999999999</v>
      </c>
      <c r="I18" s="286">
        <f>[1]!IntrinioFinancials(ticker,"calculations",I$30,I$29,$N18)</f>
        <v>-1.4626999999999999</v>
      </c>
      <c r="J18" s="286">
        <f>[1]!IntrinioFinancials(ticker,"calculations",J$30,J$29,$N18)</f>
        <v>-1.6021000000000001</v>
      </c>
      <c r="K18" s="286">
        <f>[1]!IntrinioFinancials(ticker,"calculations",K$30,K$29,$N18)</f>
        <v>-1.4233</v>
      </c>
      <c r="L18" s="17"/>
      <c r="M18" s="17"/>
      <c r="N18" s="17" t="s">
        <v>173</v>
      </c>
    </row>
    <row r="19" spans="2:14" ht="21.9" customHeight="1" x14ac:dyDescent="0.3">
      <c r="B19" s="117"/>
      <c r="C19" s="117"/>
      <c r="D19" s="117"/>
      <c r="E19" s="117"/>
      <c r="F19" s="117"/>
      <c r="G19" s="117"/>
      <c r="H19" s="117"/>
      <c r="I19" s="117"/>
      <c r="J19" s="117"/>
      <c r="K19" s="117"/>
      <c r="L19" s="17"/>
      <c r="M19" s="17"/>
      <c r="N19" s="17"/>
    </row>
    <row r="20" spans="2:14" ht="21.9" customHeight="1" x14ac:dyDescent="0.3">
      <c r="B20" s="117"/>
      <c r="C20" s="117"/>
      <c r="D20" s="117"/>
      <c r="E20" s="117"/>
      <c r="F20" s="117"/>
      <c r="G20" s="117"/>
      <c r="H20" s="117"/>
      <c r="I20" s="117"/>
      <c r="J20" s="117"/>
      <c r="K20" s="117"/>
      <c r="L20" s="17"/>
      <c r="M20" s="17"/>
      <c r="N20" s="17"/>
    </row>
    <row r="21" spans="2:14" ht="21.9" customHeight="1" x14ac:dyDescent="0.3">
      <c r="B21" s="117"/>
      <c r="C21" s="117"/>
      <c r="D21" s="117"/>
      <c r="E21" s="117"/>
      <c r="F21" s="117"/>
      <c r="G21" s="117"/>
      <c r="H21" s="117"/>
      <c r="I21" s="117"/>
      <c r="J21" s="117"/>
      <c r="K21" s="117"/>
      <c r="L21" s="17"/>
      <c r="M21" s="17"/>
      <c r="N21" s="17"/>
    </row>
    <row r="22" spans="2:14" ht="21.9" customHeight="1" x14ac:dyDescent="0.3">
      <c r="B22" s="117"/>
      <c r="C22" s="117"/>
      <c r="D22" s="117"/>
      <c r="E22" s="117"/>
      <c r="F22" s="117"/>
      <c r="G22" s="117"/>
      <c r="H22" s="117"/>
      <c r="I22" s="117"/>
      <c r="J22" s="117"/>
      <c r="K22" s="117"/>
      <c r="L22" s="17"/>
      <c r="M22" s="17"/>
      <c r="N22" s="17"/>
    </row>
    <row r="23" spans="2:14" ht="21.9" customHeight="1" x14ac:dyDescent="0.3">
      <c r="B23" s="117"/>
      <c r="C23" s="117"/>
      <c r="D23" s="117"/>
      <c r="E23" s="117"/>
      <c r="F23" s="117"/>
      <c r="G23" s="117"/>
      <c r="H23" s="117"/>
      <c r="I23" s="117"/>
      <c r="J23" s="117"/>
      <c r="K23" s="117"/>
      <c r="L23" s="17"/>
      <c r="M23" s="17"/>
      <c r="N23" s="17"/>
    </row>
    <row r="24" spans="2:14" ht="21.9" customHeight="1" x14ac:dyDescent="0.3">
      <c r="B24" s="117"/>
      <c r="C24" s="117"/>
      <c r="D24" s="117"/>
      <c r="E24" s="117"/>
      <c r="F24" s="117"/>
      <c r="G24" s="117"/>
      <c r="H24" s="117"/>
      <c r="I24" s="117"/>
      <c r="J24" s="117"/>
      <c r="K24" s="117"/>
      <c r="L24" s="17"/>
      <c r="M24" s="17"/>
      <c r="N24" s="17"/>
    </row>
    <row r="25" spans="2:14" ht="21.9" customHeight="1" x14ac:dyDescent="0.3">
      <c r="B25" s="117"/>
      <c r="C25" s="117"/>
      <c r="D25" s="117"/>
      <c r="E25" s="117"/>
      <c r="F25" s="117"/>
      <c r="G25" s="117"/>
      <c r="H25" s="117"/>
      <c r="I25" s="117"/>
      <c r="J25" s="117"/>
      <c r="K25" s="117"/>
      <c r="L25" s="17"/>
      <c r="M25" s="17"/>
      <c r="N25" s="17"/>
    </row>
    <row r="26" spans="2:14" ht="21.9" customHeight="1" x14ac:dyDescent="0.3">
      <c r="B26" s="117"/>
      <c r="C26" s="117"/>
      <c r="D26" s="117"/>
      <c r="E26" s="117"/>
      <c r="F26" s="117"/>
      <c r="G26" s="117"/>
      <c r="H26" s="117"/>
      <c r="I26" s="117"/>
      <c r="J26" s="117"/>
      <c r="K26" s="117"/>
      <c r="L26" s="17"/>
      <c r="M26" s="17"/>
      <c r="N26" s="17"/>
    </row>
    <row r="27" spans="2:14" ht="21.9" customHeight="1" x14ac:dyDescent="0.3">
      <c r="B27" s="117"/>
      <c r="C27" s="117"/>
      <c r="D27" s="117"/>
      <c r="E27" s="117"/>
      <c r="F27" s="117"/>
      <c r="G27" s="117"/>
      <c r="H27" s="117"/>
      <c r="I27" s="117"/>
      <c r="J27" s="117"/>
      <c r="K27" s="117"/>
      <c r="L27" s="17"/>
      <c r="M27" s="17"/>
      <c r="N27" s="17"/>
    </row>
    <row r="28" spans="2:14" ht="21.9" customHeight="1" x14ac:dyDescent="0.3">
      <c r="B28" s="117"/>
      <c r="C28" s="117"/>
      <c r="D28" s="117"/>
      <c r="E28" s="117"/>
      <c r="F28" s="117"/>
      <c r="G28" s="117"/>
      <c r="H28" s="117"/>
      <c r="I28" s="117"/>
      <c r="J28" s="117"/>
      <c r="K28" s="117"/>
      <c r="L28" s="49"/>
      <c r="M28" s="49"/>
      <c r="N28" s="17"/>
    </row>
    <row r="29" spans="2:14" ht="21.9" customHeight="1" x14ac:dyDescent="0.3">
      <c r="B29" s="28"/>
      <c r="C29" s="244" t="str">
        <f>D29</f>
        <v>FY</v>
      </c>
      <c r="D29" s="244" t="str">
        <f>E29</f>
        <v>FY</v>
      </c>
      <c r="E29" s="244" t="str">
        <f>F29</f>
        <v>FY</v>
      </c>
      <c r="F29" s="244" t="s">
        <v>137</v>
      </c>
      <c r="G29" s="244" t="str">
        <f>[1]!IntrinioFundamentals(ticker,"income_statement","TTM",G31,"fiscal_period")</f>
        <v>Q2TTM</v>
      </c>
      <c r="H29" s="244" t="str">
        <f>I29</f>
        <v>QTR</v>
      </c>
      <c r="I29" s="244" t="str">
        <f>J29</f>
        <v>QTR</v>
      </c>
      <c r="J29" s="244" t="str">
        <f>K29</f>
        <v>QTR</v>
      </c>
      <c r="K29" s="244" t="s">
        <v>138</v>
      </c>
      <c r="L29" s="49"/>
      <c r="M29" s="49"/>
      <c r="N29" s="17"/>
    </row>
    <row r="30" spans="2:14" ht="21.9" customHeight="1" x14ac:dyDescent="0.3">
      <c r="B30" s="28"/>
      <c r="C30" s="28">
        <f t="shared" ref="C30:I30" si="0">D30+1</f>
        <v>3</v>
      </c>
      <c r="D30" s="28">
        <f t="shared" si="0"/>
        <v>2</v>
      </c>
      <c r="E30" s="28">
        <f>F30+1</f>
        <v>1</v>
      </c>
      <c r="F30" s="28">
        <f>IF(G29="FY",1,0)</f>
        <v>0</v>
      </c>
      <c r="G30" s="28">
        <f>[1]!IntrinioFundamentals(ticker,"income_statement","TTM",G31,"fiscal_year")</f>
        <v>2019</v>
      </c>
      <c r="H30" s="28">
        <f t="shared" si="0"/>
        <v>3</v>
      </c>
      <c r="I30" s="28">
        <f t="shared" si="0"/>
        <v>2</v>
      </c>
      <c r="J30" s="28">
        <f>K30+1</f>
        <v>1</v>
      </c>
      <c r="K30" s="28">
        <v>0</v>
      </c>
      <c r="L30" s="49"/>
      <c r="M30" s="49"/>
      <c r="N30" s="17"/>
    </row>
    <row r="31" spans="2:14" ht="21.9" customHeight="1" x14ac:dyDescent="0.3">
      <c r="B31" s="28"/>
      <c r="C31" s="28"/>
      <c r="D31" s="28"/>
      <c r="E31" s="28"/>
      <c r="F31" s="28"/>
      <c r="G31" s="28">
        <v>0</v>
      </c>
      <c r="H31" s="28"/>
      <c r="I31" s="28"/>
      <c r="J31" s="28"/>
      <c r="K31" s="28"/>
      <c r="L31" s="51"/>
      <c r="M31" s="49"/>
      <c r="N31" s="17"/>
    </row>
    <row r="32" spans="2:14" ht="21.9" customHeight="1" x14ac:dyDescent="0.3">
      <c r="B32" s="28"/>
      <c r="C32" s="28"/>
      <c r="D32" s="28"/>
      <c r="E32" s="28"/>
      <c r="F32" s="28"/>
      <c r="G32" s="28"/>
      <c r="H32" s="28"/>
      <c r="I32" s="28"/>
      <c r="J32" s="28"/>
      <c r="K32" s="28"/>
      <c r="L32" s="16"/>
      <c r="M32" s="17"/>
      <c r="N32" s="17"/>
    </row>
    <row r="33" spans="2:14" ht="21.9" customHeight="1" x14ac:dyDescent="0.3">
      <c r="B33" s="28"/>
      <c r="C33" s="28"/>
      <c r="D33" s="28"/>
      <c r="E33" s="28"/>
      <c r="F33" s="28"/>
      <c r="G33" s="28"/>
      <c r="H33" s="28"/>
      <c r="I33" s="28"/>
      <c r="J33" s="28"/>
      <c r="K33" s="28"/>
      <c r="L33" s="17"/>
      <c r="M33" s="17"/>
      <c r="N33" s="17"/>
    </row>
    <row r="34" spans="2:14" ht="21.9" customHeight="1" x14ac:dyDescent="0.3">
      <c r="B34" s="28"/>
      <c r="C34" s="28"/>
      <c r="D34" s="28"/>
      <c r="E34" s="28"/>
      <c r="F34" s="28"/>
      <c r="G34" s="28"/>
      <c r="H34" s="28"/>
      <c r="I34" s="28"/>
      <c r="J34" s="28"/>
      <c r="K34" s="28"/>
    </row>
    <row r="35" spans="2:14" ht="23.85" customHeight="1" x14ac:dyDescent="0.3">
      <c r="B35" s="28"/>
      <c r="C35" s="28"/>
      <c r="D35" s="28"/>
      <c r="E35" s="28"/>
      <c r="F35" s="28"/>
      <c r="G35" s="28"/>
      <c r="H35" s="28"/>
      <c r="I35" s="28"/>
      <c r="J35" s="28"/>
      <c r="K35" s="28"/>
    </row>
    <row r="36" spans="2:14" ht="15.75" customHeight="1" x14ac:dyDescent="0.3">
      <c r="C36" s="3"/>
      <c r="D36" s="3"/>
      <c r="E36" s="3"/>
      <c r="F36" s="3"/>
      <c r="G36" s="3"/>
      <c r="H36" s="3"/>
      <c r="I36" s="3"/>
      <c r="J36" s="3"/>
      <c r="K36" s="3"/>
      <c r="L36" s="20"/>
    </row>
    <row r="37" spans="2:14" x14ac:dyDescent="0.3">
      <c r="C37" s="3"/>
      <c r="D37" s="3"/>
      <c r="E37" s="3"/>
      <c r="F37" s="3"/>
      <c r="G37" s="3"/>
      <c r="H37" s="3"/>
      <c r="I37" s="3"/>
      <c r="J37" s="3"/>
      <c r="K37" s="3"/>
      <c r="L37" s="20"/>
    </row>
    <row r="38" spans="2:14" x14ac:dyDescent="0.3">
      <c r="C38" s="3"/>
      <c r="D38" s="3"/>
      <c r="E38" s="3"/>
      <c r="F38" s="3"/>
      <c r="G38" s="3"/>
      <c r="H38" s="3"/>
      <c r="I38" s="3"/>
      <c r="J38" s="3"/>
      <c r="K38" s="3"/>
      <c r="L38" s="20"/>
    </row>
    <row r="39" spans="2:14" x14ac:dyDescent="0.3">
      <c r="C39" s="3"/>
      <c r="D39" s="3"/>
      <c r="E39" s="3"/>
      <c r="F39" s="3"/>
      <c r="G39" s="3"/>
      <c r="H39" s="3"/>
      <c r="I39" s="3"/>
      <c r="J39" s="3"/>
      <c r="K39" s="3"/>
      <c r="L39" s="20"/>
    </row>
    <row r="40" spans="2:14" x14ac:dyDescent="0.3">
      <c r="C40" s="3"/>
      <c r="D40" s="3"/>
      <c r="E40" s="3"/>
      <c r="F40" s="3"/>
      <c r="G40" s="3"/>
      <c r="H40" s="3"/>
      <c r="I40" s="3"/>
      <c r="J40" s="3"/>
      <c r="K40" s="3"/>
      <c r="L40" s="20"/>
    </row>
    <row r="41" spans="2:14" x14ac:dyDescent="0.3">
      <c r="C41" s="3"/>
      <c r="D41" s="3"/>
      <c r="E41" s="3"/>
      <c r="F41" s="3"/>
      <c r="G41" s="3"/>
      <c r="H41" s="3"/>
      <c r="I41" s="3"/>
      <c r="J41" s="3"/>
      <c r="K41" s="3"/>
    </row>
    <row r="42" spans="2:14" x14ac:dyDescent="0.3">
      <c r="C42" s="3"/>
      <c r="D42" s="3"/>
      <c r="E42" s="3"/>
      <c r="F42" s="3"/>
      <c r="G42" s="3"/>
      <c r="H42" s="3"/>
      <c r="I42" s="3"/>
      <c r="J42" s="3"/>
      <c r="K42" s="3"/>
      <c r="L42" s="19"/>
    </row>
    <row r="43" spans="2:14" x14ac:dyDescent="0.3">
      <c r="C43" s="3"/>
      <c r="D43" s="3"/>
      <c r="E43" s="3"/>
      <c r="F43" s="3"/>
      <c r="G43" s="3"/>
      <c r="H43" s="3"/>
      <c r="I43" s="3"/>
      <c r="J43" s="3"/>
      <c r="K43" s="3"/>
    </row>
    <row r="44" spans="2:14" x14ac:dyDescent="0.3">
      <c r="C44" s="3"/>
      <c r="D44" s="3"/>
      <c r="E44" s="3"/>
      <c r="F44" s="3"/>
      <c r="G44" s="3"/>
      <c r="H44" s="3"/>
      <c r="I44" s="3"/>
      <c r="J44" s="3"/>
      <c r="K44" s="3"/>
    </row>
    <row r="45" spans="2:14" x14ac:dyDescent="0.3">
      <c r="C45" s="3"/>
      <c r="D45" s="3"/>
      <c r="E45" s="3"/>
      <c r="F45" s="3"/>
      <c r="G45" s="3"/>
      <c r="H45" s="3"/>
      <c r="I45" s="3"/>
      <c r="J45" s="3"/>
      <c r="K45" s="3"/>
    </row>
    <row r="46" spans="2:14" x14ac:dyDescent="0.3">
      <c r="C46" s="3"/>
      <c r="D46" s="3"/>
      <c r="E46" s="3"/>
      <c r="F46" s="3"/>
      <c r="G46" s="3"/>
      <c r="H46" s="3"/>
      <c r="I46" s="3"/>
      <c r="J46" s="3"/>
      <c r="K46" s="3"/>
    </row>
    <row r="47" spans="2:14" x14ac:dyDescent="0.3">
      <c r="C47" s="3"/>
      <c r="D47" s="3"/>
      <c r="E47" s="3"/>
      <c r="F47" s="3"/>
      <c r="G47" s="3"/>
      <c r="H47" s="3"/>
      <c r="I47" s="3"/>
      <c r="J47" s="3"/>
      <c r="K47" s="3"/>
    </row>
    <row r="48" spans="2:14" x14ac:dyDescent="0.3">
      <c r="C48" s="3"/>
      <c r="D48" s="3"/>
      <c r="E48" s="3"/>
      <c r="F48" s="3"/>
      <c r="G48" s="3"/>
      <c r="H48" s="3"/>
      <c r="I48" s="3"/>
      <c r="J48" s="3"/>
      <c r="K48" s="3"/>
    </row>
  </sheetData>
  <mergeCells count="2">
    <mergeCell ref="C3:G3"/>
    <mergeCell ref="H3:K3"/>
  </mergeCells>
  <conditionalFormatting sqref="L36:L38">
    <cfRule type="cellIs" dxfId="13" priority="1" operator="greaterThan">
      <formula>0</formula>
    </cfRule>
    <cfRule type="cellIs" dxfId="12" priority="2" operator="lessThan">
      <formula>0</formula>
    </cfRule>
  </conditionalFormatting>
  <pageMargins left="0.7" right="0.7" top="0.75" bottom="0.75" header="0.3" footer="0.3"/>
  <pageSetup scale="84" orientation="landscape" r:id="rId1"/>
  <headerFooter>
    <oddHeader>&amp;LApple Inc (AAPL)          $116.52&amp;RReport Date: 12/26/2016</oddHeader>
    <oddFooter>&amp;L&amp;G&amp;R&amp;P</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8"/>
    <pageSetUpPr fitToPage="1"/>
  </sheetPr>
  <dimension ref="A1:Q48"/>
  <sheetViews>
    <sheetView showGridLines="0" view="pageBreakPreview" zoomScale="80" zoomScaleNormal="100" zoomScaleSheetLayoutView="80" workbookViewId="0"/>
  </sheetViews>
  <sheetFormatPr defaultColWidth="9.109375" defaultRowHeight="14.4" outlineLevelRow="1" x14ac:dyDescent="0.3"/>
  <cols>
    <col min="1" max="1" width="2.44140625" style="18" customWidth="1"/>
    <col min="2" max="2" width="20.77734375" style="18" customWidth="1"/>
    <col min="3" max="11" width="16.5546875" style="18" customWidth="1"/>
    <col min="12" max="13" width="17.88671875" style="18" customWidth="1"/>
    <col min="14" max="15" width="12.44140625" style="18" customWidth="1"/>
    <col min="16" max="16" width="0.88671875" style="18" customWidth="1"/>
    <col min="17" max="17" width="15.44140625" style="18" customWidth="1"/>
    <col min="18" max="16384" width="9.109375" style="18"/>
  </cols>
  <sheetData>
    <row r="1" spans="1:17" ht="16.2" x14ac:dyDescent="0.35">
      <c r="A1" s="23" t="s">
        <v>180</v>
      </c>
      <c r="B1" s="23"/>
      <c r="C1" s="23"/>
    </row>
    <row r="2" spans="1:17" ht="15" thickBot="1" x14ac:dyDescent="0.35"/>
    <row r="3" spans="1:17" ht="21.75" customHeight="1" x14ac:dyDescent="0.35">
      <c r="B3" s="374"/>
      <c r="C3" s="376">
        <f>IFERROR(DATEVALUE(([1]!IntrinioFundamentals(ticker,"income_statement","FY",0,"end_date"))),"")</f>
        <v>43372</v>
      </c>
      <c r="D3" s="376">
        <f>DATE(YEAR(C3)+1,MONTH(C3),DAY(C3))</f>
        <v>43737</v>
      </c>
      <c r="E3" s="376">
        <f>DATE(YEAR(D3)+1,MONTH(D3),DAY(D3))</f>
        <v>44103</v>
      </c>
      <c r="F3" s="376">
        <f>DATE(YEAR(E3)+1,MONTH(E3),DAY(E3))</f>
        <v>44468</v>
      </c>
      <c r="G3" s="376">
        <f>DATE(YEAR(F3)+1,MONTH(F3),DAY(F3))</f>
        <v>44833</v>
      </c>
      <c r="H3" s="377">
        <f>DATE(YEAR(G3)+1,MONTH(G3),DAY(G3))</f>
        <v>45198</v>
      </c>
      <c r="I3" s="162"/>
      <c r="J3" s="162"/>
      <c r="K3" s="162"/>
      <c r="L3" s="162"/>
      <c r="M3" s="162"/>
      <c r="N3" s="28"/>
      <c r="O3" s="28"/>
    </row>
    <row r="4" spans="1:17" ht="21.75" customHeight="1" thickBot="1" x14ac:dyDescent="0.4">
      <c r="B4" s="375"/>
      <c r="C4" s="378" t="str">
        <f>"FY "&amp;[1]!IntrinioFundamentals(ticker,"calculations","FY",0,"fiscal_year")&amp;"A"</f>
        <v>FY 2018A</v>
      </c>
      <c r="D4" s="378" t="str">
        <f>"FY "&amp;[1]!IntrinioFundamentals(ticker,"calculations","FY",0,"fiscal_year")+1&amp;"E"</f>
        <v>FY 2019E</v>
      </c>
      <c r="E4" s="378" t="str">
        <f>"FY "&amp;[1]!IntrinioFundamentals(ticker,"calculations","FY",0,"fiscal_year")+2&amp;"E"</f>
        <v>FY 2020E</v>
      </c>
      <c r="F4" s="378" t="str">
        <f>"FY "&amp;[1]!IntrinioFundamentals(ticker,"calculations","FY",0,"fiscal_year")+3&amp;"E"</f>
        <v>FY 2021E</v>
      </c>
      <c r="G4" s="378" t="str">
        <f>"FY "&amp;[1]!IntrinioFundamentals(ticker,"calculations","FY",0,"fiscal_year")+4&amp;"E"</f>
        <v>FY 2022E</v>
      </c>
      <c r="H4" s="379" t="str">
        <f>"FY "&amp;[1]!IntrinioFundamentals(ticker,"calculations","FY",0,"fiscal_year")+5&amp;"E"</f>
        <v>FY 2023E</v>
      </c>
      <c r="I4" s="163"/>
      <c r="J4" s="163"/>
      <c r="K4" s="163"/>
      <c r="L4" s="163"/>
      <c r="M4" s="163"/>
      <c r="N4" s="28"/>
      <c r="O4" s="28"/>
      <c r="Q4" s="1"/>
    </row>
    <row r="5" spans="1:17" ht="16.2" x14ac:dyDescent="0.35">
      <c r="B5" s="132"/>
      <c r="C5" s="133"/>
      <c r="D5" s="172" t="s">
        <v>142</v>
      </c>
      <c r="E5" s="173"/>
      <c r="F5" s="173"/>
      <c r="G5" s="173"/>
      <c r="H5" s="174"/>
      <c r="I5" s="164"/>
      <c r="J5" s="164"/>
      <c r="K5" s="164"/>
      <c r="L5" s="164"/>
      <c r="M5" s="164"/>
    </row>
    <row r="6" spans="1:17" ht="21.9" customHeight="1" thickBot="1" x14ac:dyDescent="0.4">
      <c r="B6" s="137" t="s">
        <v>66</v>
      </c>
      <c r="C6" s="202">
        <f>IFERROR([1]!IntrinioFinancials(ticker,"income_statement",0,"FY","totalrevenue","A")/1000000,"")</f>
        <v>265595</v>
      </c>
      <c r="D6" s="203">
        <f>IFERROR(C6*(1+D7),"")</f>
        <v>256830.36499999999</v>
      </c>
      <c r="E6" s="204">
        <f>IFERROR(D6*(1+E7),"")</f>
        <v>267103.5796</v>
      </c>
      <c r="F6" s="204">
        <f>IFERROR(E6*(1+F7),"")</f>
        <v>275917.99772679998</v>
      </c>
      <c r="G6" s="204">
        <f>IFERROR(F6*(1+G7),"")</f>
        <v>283091.86566769681</v>
      </c>
      <c r="H6" s="205">
        <f>IFERROR(G6*(1+H7),"")</f>
        <v>288470.61111538304</v>
      </c>
      <c r="I6" s="165"/>
      <c r="J6" s="165"/>
      <c r="K6" s="165"/>
      <c r="L6" s="165"/>
      <c r="M6" s="165"/>
      <c r="P6" s="17"/>
      <c r="Q6" s="17"/>
    </row>
    <row r="7" spans="1:17" ht="21.9" customHeight="1" thickBot="1" x14ac:dyDescent="0.4">
      <c r="B7" s="373" t="s">
        <v>119</v>
      </c>
      <c r="C7" s="206">
        <f>[1]!IntrinioFinancials(ticker,"calculations",0,"FY","revenuegrowth")</f>
        <v>0.15862000000000001</v>
      </c>
      <c r="D7" s="207" t="str">
        <f>IFERROR(TEXT(([1]!IntrinioDataPoint(ticker,"current_yr_ave_revenue_est")/1000000)/C6-1,"0.0%"),"")</f>
        <v>-3.3%</v>
      </c>
      <c r="E7" s="208" t="str">
        <f>IFERROR(TEXT(([1]!IntrinioDataPoint(ticker,"next_yr_ave_revenue_est"))/([1]!IntrinioDataPoint(ticker,"current_yr_ave_revenue_est"))-1,"0.0%"),"")</f>
        <v>4.0%</v>
      </c>
      <c r="F7" s="208" t="str">
        <f>IFERROR(TEXT(E7 - ($E$7 - $H$7) / 3,"0.0%"),"")</f>
        <v>3.3%</v>
      </c>
      <c r="G7" s="208" t="str">
        <f>IFERROR(TEXT(F7 - ($E$7 - $H$7) / 3,"0.0%"),"")</f>
        <v>2.6%</v>
      </c>
      <c r="H7" s="209" t="str">
        <f>IFERROR(TEXT(((1+[1]!IntrinioDataPoint(ticker,"long_term_growth_rate"))^(1/5))-1,"0.0%"),"")</f>
        <v>1.9%</v>
      </c>
      <c r="I7" s="166"/>
      <c r="J7" s="166"/>
      <c r="K7" s="166"/>
      <c r="L7" s="166"/>
      <c r="M7" s="166"/>
      <c r="P7" s="17"/>
      <c r="Q7" s="17"/>
    </row>
    <row r="8" spans="1:17" ht="8.85" customHeight="1" x14ac:dyDescent="0.35">
      <c r="B8" s="373"/>
      <c r="C8" s="134"/>
      <c r="D8" s="175"/>
      <c r="E8" s="167"/>
      <c r="F8" s="167"/>
      <c r="G8" s="167"/>
      <c r="H8" s="176"/>
      <c r="I8" s="167"/>
      <c r="J8" s="167"/>
      <c r="K8" s="167"/>
      <c r="L8" s="167"/>
      <c r="M8" s="167"/>
      <c r="P8" s="17"/>
      <c r="Q8" s="17"/>
    </row>
    <row r="9" spans="1:17" ht="21.75" customHeight="1" thickBot="1" x14ac:dyDescent="0.4">
      <c r="B9" s="137" t="s">
        <v>94</v>
      </c>
      <c r="C9" s="214">
        <f>IFERROR([1]!IntrinioFinancials(ticker,"calculations",0,"FY","nopat","A")/1000000,"")</f>
        <v>57893.760723199994</v>
      </c>
      <c r="D9" s="215">
        <f>IFERROR(D6*D10,"")</f>
        <v>55475.358840000001</v>
      </c>
      <c r="E9" s="216">
        <f>IFERROR(E6*E10,"")</f>
        <v>57160.166034399997</v>
      </c>
      <c r="F9" s="216">
        <f>IFERROR(F6*F10,"")</f>
        <v>58494.615518081591</v>
      </c>
      <c r="G9" s="216">
        <f>IFERROR(G6*G10,"")</f>
        <v>59449.291790216324</v>
      </c>
      <c r="H9" s="217">
        <f>IFERROR(H6*H10,"")</f>
        <v>60298.242586485547</v>
      </c>
      <c r="I9" s="168"/>
      <c r="J9" s="168"/>
      <c r="K9" s="168"/>
      <c r="L9" s="168"/>
      <c r="M9" s="168"/>
      <c r="P9" s="17"/>
      <c r="Q9" s="17"/>
    </row>
    <row r="10" spans="1:17" ht="21.9" customHeight="1" thickBot="1" x14ac:dyDescent="0.4">
      <c r="B10" s="373" t="s">
        <v>120</v>
      </c>
      <c r="C10" s="206">
        <f>IFERROR(C9/C6,"")</f>
        <v>0.21797760019277468</v>
      </c>
      <c r="D10" s="207" t="str">
        <f>IFERROR(TEXT(C10 - ($C$10 -$H$10) / 5,"0.0%"),"")</f>
        <v>21.6%</v>
      </c>
      <c r="E10" s="208" t="str">
        <f>IFERROR(TEXT(D10 - ($C$10 -$H$10) / 5,"0.0%"),"")</f>
        <v>21.4%</v>
      </c>
      <c r="F10" s="208" t="str">
        <f>IFERROR(TEXT(E10 - ($C$10 -$H$10) / 5,"0.0%"),"")</f>
        <v>21.2%</v>
      </c>
      <c r="G10" s="208" t="str">
        <f>IFERROR(TEXT(F10 - ($C$10 -$H$10) / 5,"0.0%"),"")</f>
        <v>21.0%</v>
      </c>
      <c r="H10" s="209">
        <f>IFERROR(AVERAGE([1]!IntrinioFinancials(ticker,"calculations",0,"FY","nopatmargin"),[1]!IntrinioFinancials(ticker,"calculations",1,"FY","nopatmargin"),[1]!IntrinioFinancials(ticker,"calculations",2,"FY","nopatmargin")),C10)</f>
        <v>0.20902733333333334</v>
      </c>
      <c r="I10" s="166"/>
      <c r="J10" s="166"/>
      <c r="K10" s="166"/>
      <c r="L10" s="166"/>
      <c r="M10" s="166"/>
      <c r="P10" s="17"/>
      <c r="Q10" s="17"/>
    </row>
    <row r="11" spans="1:17" ht="8.85" customHeight="1" x14ac:dyDescent="0.35">
      <c r="B11" s="373"/>
      <c r="C11" s="134"/>
      <c r="D11" s="175"/>
      <c r="E11" s="167"/>
      <c r="F11" s="167"/>
      <c r="G11" s="167"/>
      <c r="H11" s="176"/>
      <c r="I11" s="167"/>
      <c r="J11" s="167"/>
      <c r="K11" s="167"/>
      <c r="L11" s="167"/>
      <c r="M11" s="167"/>
      <c r="P11" s="17"/>
      <c r="Q11" s="17"/>
    </row>
    <row r="12" spans="1:17" ht="21.9" customHeight="1" thickBot="1" x14ac:dyDescent="0.4">
      <c r="B12" s="137" t="s">
        <v>95</v>
      </c>
      <c r="C12" s="214">
        <f>IFERROR([1]!IntrinioFinancials(ticker,"calculations",0,"FY","investedcapital","A")/1000000,"")</f>
        <v>-15470</v>
      </c>
      <c r="D12" s="215">
        <f>IFERROR(D6/D13,"")</f>
        <v>-15909.416709290284</v>
      </c>
      <c r="E12" s="216">
        <f>IFERROR(E6/E13,"")</f>
        <v>-17667.69066522846</v>
      </c>
      <c r="F12" s="216">
        <f>IFERROR(F6/F13,"")</f>
        <v>-19578.238474718029</v>
      </c>
      <c r="G12" s="216">
        <f>IFERROR(G6/G13,"")</f>
        <v>-21662.986464435089</v>
      </c>
      <c r="H12" s="217">
        <f>IFERROR(H6/H13,"")</f>
        <v>-23953.583531822318</v>
      </c>
      <c r="I12" s="168"/>
      <c r="J12" s="168"/>
      <c r="K12" s="168"/>
      <c r="L12" s="168"/>
      <c r="M12" s="168"/>
      <c r="P12" s="49"/>
      <c r="Q12" s="49"/>
    </row>
    <row r="13" spans="1:17" ht="21.9" customHeight="1" thickBot="1" x14ac:dyDescent="0.4">
      <c r="B13" s="373" t="s">
        <v>121</v>
      </c>
      <c r="C13" s="210">
        <f>IFERROR(C6/C12,"")</f>
        <v>-17.168390433096317</v>
      </c>
      <c r="D13" s="211">
        <f>IFERROR(C13 - ($C$13 -$H$13) / 5,"")</f>
        <v>-16.143292346477054</v>
      </c>
      <c r="E13" s="212">
        <f>IFERROR(D13 - ($C$13 -$H$13) / 5,"")</f>
        <v>-15.118194259857791</v>
      </c>
      <c r="F13" s="212">
        <f>IFERROR(E13 - ($C$13 -$H$13) / 5,"")</f>
        <v>-14.093096173238528</v>
      </c>
      <c r="G13" s="212">
        <f>IFERROR(F13 - ($C$13 -$H$13) / 5,"")</f>
        <v>-13.067998086619266</v>
      </c>
      <c r="H13" s="213">
        <f>IFERROR(AVERAGE([1]!IntrinioFinancials(ticker,"calculations",0,"FY","investedcapitalturnover"),[1]!IntrinioFinancials(ticker,"calculations",1,"FY","investedcapitalturnover"),[1]!IntrinioFinancials(ticker,"calculations",2,"FY","investedcapitalturnover")),C13)</f>
        <v>-12.042900000000001</v>
      </c>
      <c r="I13" s="169"/>
      <c r="J13" s="169"/>
      <c r="K13" s="169"/>
      <c r="L13" s="169"/>
      <c r="M13" s="169"/>
      <c r="P13" s="49"/>
      <c r="Q13" s="49"/>
    </row>
    <row r="14" spans="1:17" ht="6.9" customHeight="1" x14ac:dyDescent="0.35">
      <c r="B14" s="373"/>
      <c r="C14" s="135"/>
      <c r="D14" s="177"/>
      <c r="E14" s="170"/>
      <c r="F14" s="170"/>
      <c r="G14" s="170"/>
      <c r="H14" s="178"/>
      <c r="I14" s="170"/>
      <c r="J14" s="170"/>
      <c r="K14" s="170"/>
      <c r="L14" s="170"/>
      <c r="M14" s="170"/>
      <c r="P14" s="49"/>
      <c r="Q14" s="49"/>
    </row>
    <row r="15" spans="1:17" ht="21.9" customHeight="1" x14ac:dyDescent="0.35">
      <c r="B15" s="137" t="s">
        <v>122</v>
      </c>
      <c r="C15" s="218">
        <f>IFERROR(C12-[1]!IntrinioFinancials(ticker,"calculations",1,"FY","investedcapital","A")/1000000,"")</f>
        <v>3698</v>
      </c>
      <c r="D15" s="219">
        <f>IFERROR(D12-C12,"")</f>
        <v>-439.41670929028442</v>
      </c>
      <c r="E15" s="220">
        <f>IFERROR(E12-D12,"")</f>
        <v>-1758.2739559381753</v>
      </c>
      <c r="F15" s="220">
        <f>IFERROR(F12-E12,"")</f>
        <v>-1910.5478094895698</v>
      </c>
      <c r="G15" s="220">
        <f>IFERROR(G12-F12,"")</f>
        <v>-2084.7479897170597</v>
      </c>
      <c r="H15" s="221">
        <f>IFERROR(H12-G12,"")</f>
        <v>-2290.5970673872289</v>
      </c>
      <c r="I15" s="171"/>
      <c r="J15" s="171"/>
      <c r="K15" s="171"/>
      <c r="L15" s="171"/>
      <c r="M15" s="171"/>
      <c r="P15" s="49"/>
      <c r="Q15" s="49"/>
    </row>
    <row r="16" spans="1:17" ht="8.85" customHeight="1" x14ac:dyDescent="0.35">
      <c r="B16" s="319"/>
      <c r="C16" s="222"/>
      <c r="D16" s="223"/>
      <c r="E16" s="224"/>
      <c r="F16" s="224"/>
      <c r="G16" s="224"/>
      <c r="H16" s="225"/>
      <c r="I16" s="170"/>
      <c r="J16" s="170"/>
      <c r="K16" s="170"/>
      <c r="L16" s="170"/>
      <c r="M16" s="170"/>
      <c r="P16" s="49"/>
      <c r="Q16" s="49"/>
    </row>
    <row r="17" spans="2:17" ht="21.75" customHeight="1" thickBot="1" x14ac:dyDescent="0.4">
      <c r="B17" s="137" t="s">
        <v>123</v>
      </c>
      <c r="C17" s="226">
        <f t="shared" ref="C17:H17" si="0">IFERROR(C9-C15,"")</f>
        <v>54195.760723199994</v>
      </c>
      <c r="D17" s="227">
        <f t="shared" si="0"/>
        <v>55914.775549290287</v>
      </c>
      <c r="E17" s="228">
        <f t="shared" si="0"/>
        <v>58918.439990338171</v>
      </c>
      <c r="F17" s="228">
        <f t="shared" si="0"/>
        <v>60405.163327571165</v>
      </c>
      <c r="G17" s="228">
        <f t="shared" si="0"/>
        <v>61534.039779933388</v>
      </c>
      <c r="H17" s="229">
        <f t="shared" si="0"/>
        <v>62588.839653872776</v>
      </c>
      <c r="I17" s="168"/>
      <c r="J17" s="168"/>
      <c r="K17" s="168"/>
      <c r="L17" s="168"/>
      <c r="M17" s="168"/>
      <c r="P17" s="49"/>
      <c r="Q17" s="49"/>
    </row>
    <row r="18" spans="2:17" ht="5.7" customHeight="1" thickTop="1" thickBot="1" x14ac:dyDescent="0.4">
      <c r="B18" s="136"/>
      <c r="C18" s="135"/>
      <c r="D18" s="138"/>
      <c r="E18" s="138"/>
      <c r="F18" s="138"/>
      <c r="G18" s="138"/>
      <c r="H18" s="138"/>
      <c r="I18" s="138"/>
      <c r="J18" s="138"/>
      <c r="K18" s="138"/>
      <c r="L18" s="138"/>
      <c r="M18" s="138"/>
      <c r="P18" s="49"/>
      <c r="Q18" s="49"/>
    </row>
    <row r="19" spans="2:17" ht="21.9" hidden="1" customHeight="1" outlineLevel="1" x14ac:dyDescent="0.35">
      <c r="B19" s="398" t="s">
        <v>96</v>
      </c>
      <c r="C19" s="398"/>
      <c r="D19" s="139">
        <f>J32</f>
        <v>0</v>
      </c>
      <c r="E19" s="139">
        <f>D19</f>
        <v>0</v>
      </c>
      <c r="F19" s="139">
        <f>E19</f>
        <v>0</v>
      </c>
      <c r="G19" s="139">
        <f>F19</f>
        <v>0</v>
      </c>
      <c r="H19" s="139">
        <f>G19</f>
        <v>0</v>
      </c>
      <c r="I19" s="139"/>
      <c r="J19" s="139"/>
      <c r="K19" s="139"/>
      <c r="L19" s="139"/>
      <c r="M19" s="139"/>
      <c r="P19" s="49"/>
      <c r="Q19" s="49"/>
    </row>
    <row r="20" spans="2:17" ht="21.9" hidden="1" customHeight="1" outlineLevel="1" thickBot="1" x14ac:dyDescent="0.4">
      <c r="B20" s="398" t="s">
        <v>97</v>
      </c>
      <c r="C20" s="398"/>
      <c r="D20" s="140">
        <f ca="1">IFERROR(IF((D3-DATE(YEAR(NOW()),MONTH(NOW()),DAY(NOW())))/365&lt;1,IF((D3-DATE(YEAR(NOW()),MONTH(NOW()),DAY(NOW())))/365&lt;0,0,(D3-DATE(YEAR(NOW()),MONTH(NOW()),DAY(NOW())))/365),0),1)</f>
        <v>0.39452054794520547</v>
      </c>
      <c r="E20" s="140">
        <f ca="1">IFERROR(IF(((E3-NOW())/365)&gt;1,1,(E3-NOW())/365),1)</f>
        <v>1</v>
      </c>
      <c r="F20" s="140">
        <v>1</v>
      </c>
      <c r="G20" s="140">
        <v>1</v>
      </c>
      <c r="H20" s="140">
        <v>1</v>
      </c>
      <c r="I20" s="140"/>
      <c r="J20" s="140"/>
      <c r="K20" s="140"/>
      <c r="L20" s="140"/>
      <c r="M20" s="140"/>
      <c r="P20" s="49"/>
      <c r="Q20" s="49"/>
    </row>
    <row r="21" spans="2:17" ht="21.9" customHeight="1" collapsed="1" thickBot="1" x14ac:dyDescent="0.4">
      <c r="B21" s="142"/>
      <c r="C21" s="142"/>
      <c r="D21" s="140"/>
      <c r="E21" s="140"/>
      <c r="G21" s="201" t="s">
        <v>179</v>
      </c>
      <c r="H21" s="316">
        <f>1/(H19-H7)</f>
        <v>-52.631578947368425</v>
      </c>
      <c r="I21" s="140"/>
      <c r="J21" s="140"/>
      <c r="K21" s="140"/>
      <c r="L21" s="140"/>
      <c r="M21" s="140"/>
      <c r="P21" s="49"/>
      <c r="Q21" s="49"/>
    </row>
    <row r="22" spans="2:17" ht="21.9" customHeight="1" thickBot="1" x14ac:dyDescent="0.4">
      <c r="B22" s="398"/>
      <c r="C22" s="398"/>
      <c r="D22" s="138"/>
      <c r="E22" s="138"/>
      <c r="G22" s="201" t="s">
        <v>125</v>
      </c>
      <c r="H22" s="233">
        <f>IFERROR(H9*H21,"")</f>
        <v>-3173591.7150781867</v>
      </c>
      <c r="I22" s="141"/>
      <c r="J22" s="141"/>
      <c r="K22" s="141"/>
      <c r="L22" s="141"/>
      <c r="M22" s="141"/>
      <c r="P22" s="51"/>
      <c r="Q22" s="49"/>
    </row>
    <row r="23" spans="2:17" ht="4.95" hidden="1" customHeight="1" outlineLevel="1" thickTop="1" x14ac:dyDescent="0.35">
      <c r="B23" s="142"/>
      <c r="C23" s="142"/>
      <c r="D23" s="138"/>
      <c r="E23" s="138"/>
      <c r="F23" s="138"/>
      <c r="G23" s="138"/>
      <c r="H23" s="231"/>
      <c r="I23" s="143"/>
      <c r="J23" s="143"/>
      <c r="K23" s="143"/>
      <c r="L23" s="143"/>
      <c r="M23" s="143"/>
      <c r="P23" s="16"/>
      <c r="Q23" s="17"/>
    </row>
    <row r="24" spans="2:17" ht="21.9" hidden="1" customHeight="1" outlineLevel="1" x14ac:dyDescent="0.35">
      <c r="B24" s="398" t="s">
        <v>98</v>
      </c>
      <c r="C24" s="398"/>
      <c r="D24" s="144">
        <f ca="1">IFERROR(IF((D3-DATE(YEAR(NOW()),MONTH(NOW()),DAY(NOW())))/365&lt;1,IF((D3-DATE(YEAR(NOW()),MONTH(NOW()),DAY(NOW())))/365&lt;0,0,(D3-DATE(YEAR(NOW()),MONTH(NOW()),DAY(NOW())))/365),0),1)</f>
        <v>0.39452054794520547</v>
      </c>
      <c r="E24" s="144">
        <f ca="1">IFERROR(IFERROR(IF(((E3-NOW())/365)&gt;1,D24+1,(E3-NOW())/365),1),"")</f>
        <v>1.3945205479452054</v>
      </c>
      <c r="F24" s="144">
        <f ca="1">IFERROR(E24+1,"")</f>
        <v>2.3945205479452056</v>
      </c>
      <c r="G24" s="144">
        <f ca="1">IFERROR(F24+1,"")</f>
        <v>3.3945205479452056</v>
      </c>
      <c r="H24" s="144">
        <f ca="1">IFERROR(G24,"")</f>
        <v>3.3945205479452056</v>
      </c>
      <c r="I24" s="145"/>
      <c r="J24" s="145"/>
      <c r="K24" s="145"/>
      <c r="L24" s="145"/>
      <c r="M24" s="145"/>
      <c r="P24" s="17"/>
      <c r="Q24" s="17"/>
    </row>
    <row r="25" spans="2:17" ht="21.9" customHeight="1" collapsed="1" thickTop="1" thickBot="1" x14ac:dyDescent="0.4">
      <c r="B25" s="398" t="s">
        <v>124</v>
      </c>
      <c r="C25" s="398"/>
      <c r="D25" s="232">
        <f ca="1">IFERROR(IF(D20=0,0,PV(D19,D24,0,-D17,0)*D20),"")</f>
        <v>22059.527887939181</v>
      </c>
      <c r="E25" s="232">
        <f ca="1">IFERROR(PV(E19,E24,0,-E17,0)*E20,"")</f>
        <v>58918.439990338171</v>
      </c>
      <c r="F25" s="232">
        <f ca="1">IFERROR(PV(F19,F24,0,-F17,0),"")</f>
        <v>60405.163327571165</v>
      </c>
      <c r="G25" s="232">
        <f ca="1">IFERROR(PV(G19,G24,0,-G17,0),"")</f>
        <v>61534.039779933388</v>
      </c>
      <c r="H25" s="232">
        <f ca="1">IFERROR(PV(H19,H24,0,-H22,0),"")</f>
        <v>-3173591.7150781867</v>
      </c>
      <c r="I25" s="161"/>
      <c r="J25" s="161"/>
      <c r="K25" s="161"/>
      <c r="L25" s="161"/>
      <c r="M25" s="161"/>
    </row>
    <row r="26" spans="2:17" ht="8.85" customHeight="1" thickTop="1" x14ac:dyDescent="0.35">
      <c r="B26" s="142"/>
      <c r="C26" s="142"/>
      <c r="D26" s="143"/>
      <c r="E26" s="143"/>
      <c r="F26" s="143"/>
      <c r="G26" s="143"/>
      <c r="H26" s="143"/>
      <c r="I26" s="143"/>
      <c r="J26" s="143"/>
      <c r="K26" s="143"/>
      <c r="L26" s="143"/>
      <c r="M26" s="143"/>
    </row>
    <row r="27" spans="2:17" ht="16.2" x14ac:dyDescent="0.35">
      <c r="B27" s="398" t="s">
        <v>99</v>
      </c>
      <c r="C27" s="398"/>
      <c r="D27" s="230">
        <f ca="1">IF(D25="","",IFERROR(SUM($D$25:$G$25),""))</f>
        <v>202917.17098578194</v>
      </c>
      <c r="E27" s="187"/>
      <c r="L27" s="146"/>
      <c r="M27" s="146"/>
      <c r="P27" s="20"/>
    </row>
    <row r="28" spans="2:17" ht="16.2" x14ac:dyDescent="0.35">
      <c r="B28" s="398" t="s">
        <v>141</v>
      </c>
      <c r="C28" s="398"/>
      <c r="D28" s="234">
        <f ca="1">IFERROR(H25,"")</f>
        <v>-3173591.7150781867</v>
      </c>
      <c r="E28" s="187"/>
      <c r="L28" s="147"/>
      <c r="M28" s="147"/>
      <c r="P28" s="20"/>
    </row>
    <row r="29" spans="2:17" ht="32.4" x14ac:dyDescent="0.35">
      <c r="B29" s="398" t="s">
        <v>100</v>
      </c>
      <c r="C29" s="398"/>
      <c r="D29" s="230">
        <f ca="1">IFERROR(D28+D27,"")</f>
        <v>-2970674.5440924047</v>
      </c>
      <c r="E29" s="187"/>
      <c r="F29" s="240" t="s">
        <v>128</v>
      </c>
      <c r="G29" s="241" t="s">
        <v>109</v>
      </c>
      <c r="H29" s="241" t="s">
        <v>110</v>
      </c>
      <c r="I29" s="241" t="s">
        <v>108</v>
      </c>
      <c r="J29" s="241" t="s">
        <v>111</v>
      </c>
      <c r="K29" s="146"/>
      <c r="L29" s="148"/>
      <c r="M29" s="148"/>
      <c r="P29" s="20"/>
    </row>
    <row r="30" spans="2:17" ht="16.2" x14ac:dyDescent="0.35">
      <c r="B30" s="398" t="s">
        <v>101</v>
      </c>
      <c r="C30" s="398"/>
      <c r="D30" s="149">
        <f>IFERROR((1+D19)^0.5,"")</f>
        <v>1</v>
      </c>
      <c r="E30" s="187"/>
      <c r="F30" s="198" t="s">
        <v>118</v>
      </c>
      <c r="G30" s="199" t="str">
        <f>G40</f>
        <v/>
      </c>
      <c r="H30" s="200">
        <f>IFERROR([1]!IntrinioDataPoint(ticker,"debt")/1000000,"")</f>
        <v>112606</v>
      </c>
      <c r="I30" s="199">
        <f>IFERROR(H30/$H$32,"")</f>
        <v>0.1056164067918086</v>
      </c>
      <c r="J30" s="199" t="str">
        <f>IFERROR(I30*G30,"")</f>
        <v/>
      </c>
      <c r="K30" s="147"/>
      <c r="L30" s="150"/>
      <c r="M30" s="150"/>
    </row>
    <row r="31" spans="2:17" ht="16.2" x14ac:dyDescent="0.35">
      <c r="B31" s="398" t="s">
        <v>102</v>
      </c>
      <c r="C31" s="398"/>
      <c r="D31" s="230">
        <f ca="1">IFERROR($D$29*$D$30,"")</f>
        <v>-2970674.5440924047</v>
      </c>
      <c r="E31" s="187"/>
      <c r="F31" s="192" t="s">
        <v>112</v>
      </c>
      <c r="G31" s="179" t="e">
        <f>J40</f>
        <v>#VALUE!</v>
      </c>
      <c r="H31" s="180">
        <f>IFERROR([1]!IntrinioDataPoint(ticker,"marketcap")/1000000,"")</f>
        <v>953573.04755999998</v>
      </c>
      <c r="I31" s="179">
        <f>IFERROR(H31/$H$32,"")</f>
        <v>0.8943835932081915</v>
      </c>
      <c r="J31" s="179" t="str">
        <f>IFERROR(I31*G31,"")</f>
        <v/>
      </c>
      <c r="K31" s="148"/>
      <c r="L31" s="147"/>
      <c r="M31" s="147"/>
      <c r="P31" s="19"/>
    </row>
    <row r="32" spans="2:17" ht="16.8" thickBot="1" x14ac:dyDescent="0.4">
      <c r="B32" s="398"/>
      <c r="C32" s="398"/>
      <c r="D32" s="146"/>
      <c r="E32" s="187"/>
      <c r="F32" s="181"/>
      <c r="G32" s="182"/>
      <c r="H32" s="235">
        <f>SUM(H30:H31)</f>
        <v>1066179.0475599999</v>
      </c>
      <c r="I32" s="236">
        <f>SUM(I30:I31)</f>
        <v>1</v>
      </c>
      <c r="J32" s="236">
        <f>SUM(J30:J31)</f>
        <v>0</v>
      </c>
      <c r="K32" s="150"/>
      <c r="L32" s="148"/>
      <c r="M32" s="148"/>
    </row>
    <row r="33" spans="2:13" ht="16.8" thickTop="1" x14ac:dyDescent="0.35">
      <c r="B33" s="398" t="s">
        <v>126</v>
      </c>
      <c r="C33" s="398"/>
      <c r="D33" s="230">
        <f>-[1]!IntrinioFinancials(ticker,"calculations",0,"QTR","netdebt","A")/1000000</f>
        <v>112805</v>
      </c>
      <c r="E33" s="187"/>
      <c r="F33" s="181"/>
      <c r="G33" s="182"/>
      <c r="H33" s="197"/>
      <c r="I33" s="182"/>
      <c r="J33" s="182"/>
      <c r="K33" s="147"/>
      <c r="L33" s="150"/>
      <c r="M33" s="150"/>
    </row>
    <row r="34" spans="2:13" ht="16.2" x14ac:dyDescent="0.35">
      <c r="B34" s="398" t="s">
        <v>127</v>
      </c>
      <c r="C34" s="398"/>
      <c r="D34" s="234">
        <f>-([1]!IntrinioFinancials(ticker,"balance_sheet",0,"FY","redeemablenoncontrollinginterest","A")+[1]!IntrinioFinancials(ticker,"balance_sheet",0,"FY","totalpreferredequity","A")+[1]!IntrinioFinancials(ticker,"balance_sheet",0,"FY","noncontrollinginterests","A"))/1000000</f>
        <v>0</v>
      </c>
      <c r="E34" s="187"/>
      <c r="F34" s="187"/>
      <c r="G34" s="187"/>
      <c r="H34" s="148"/>
      <c r="I34" s="148"/>
      <c r="J34" s="148"/>
      <c r="K34" s="148"/>
      <c r="M34" s="147"/>
    </row>
    <row r="35" spans="2:13" ht="16.2" x14ac:dyDescent="0.35">
      <c r="B35" s="398" t="s">
        <v>103</v>
      </c>
      <c r="C35" s="398"/>
      <c r="D35" s="230">
        <f ca="1">IF(D31="","",IFERROR(SUM($D$31:$D$34),""))</f>
        <v>-2857869.5440924047</v>
      </c>
      <c r="E35" s="187"/>
      <c r="F35" s="187"/>
      <c r="G35" s="187"/>
      <c r="H35" s="150"/>
      <c r="I35" s="150"/>
      <c r="J35" s="150"/>
      <c r="K35" s="150"/>
      <c r="L35" s="184"/>
      <c r="M35" s="148"/>
    </row>
    <row r="36" spans="2:13" ht="16.8" thickBot="1" x14ac:dyDescent="0.4">
      <c r="B36" s="151"/>
      <c r="C36" s="142"/>
      <c r="D36" s="152"/>
      <c r="E36" s="187"/>
      <c r="F36" s="193" t="s">
        <v>117</v>
      </c>
      <c r="G36" s="183" t="e">
        <f>[1]!IntrinioDataPoint("$DGS20","level")/100</f>
        <v>#VALUE!</v>
      </c>
      <c r="H36" s="147"/>
      <c r="I36" s="190" t="str">
        <f>F36</f>
        <v>Risk-Free Rate (20Yr)</v>
      </c>
      <c r="J36" s="183" t="e">
        <f>[1]!IntrinioDataPoint("$DGS20","level")/100</f>
        <v>#VALUE!</v>
      </c>
      <c r="L36" s="184"/>
      <c r="M36" s="150"/>
    </row>
    <row r="37" spans="2:13" ht="16.8" thickBot="1" x14ac:dyDescent="0.4">
      <c r="B37" s="398" t="s">
        <v>104</v>
      </c>
      <c r="C37" s="398"/>
      <c r="D37" s="153">
        <f>[1]!IntrinioFinancials(ticker,"income_statement",0,"FY","weightedavedilutedsharesos","A")/1000000</f>
        <v>5000.1090000000004</v>
      </c>
      <c r="E37" s="187"/>
      <c r="F37" s="190" t="s">
        <v>113</v>
      </c>
      <c r="G37" s="239" t="e">
        <f>([1]!IntrinioDataPoint("$DBAA","level")/100-G36)*10000</f>
        <v>#VALUE!</v>
      </c>
      <c r="H37" s="148"/>
      <c r="I37" s="190" t="s">
        <v>116</v>
      </c>
      <c r="J37" s="184" t="str">
        <f>[1]!IntrinioDataPoint("DMD.ERP","smoothed_erp")</f>
        <v>na</v>
      </c>
      <c r="L37" s="188"/>
      <c r="M37" s="147"/>
    </row>
    <row r="38" spans="2:13" ht="24" thickBot="1" x14ac:dyDescent="0.5">
      <c r="B38" s="400" t="s">
        <v>105</v>
      </c>
      <c r="C38" s="400"/>
      <c r="D38" s="154">
        <f ca="1">IFERROR(D35/D37,"")</f>
        <v>-571.56144877889756</v>
      </c>
      <c r="E38" s="187"/>
      <c r="F38" s="190" t="s">
        <v>114</v>
      </c>
      <c r="G38" s="184" t="e">
        <f>G36+G37/10000</f>
        <v>#VALUE!</v>
      </c>
      <c r="H38" s="150"/>
      <c r="I38" s="193" t="s">
        <v>10</v>
      </c>
      <c r="J38" s="189">
        <f>[1]!IntrinioDataPoint(ticker,"beta")</f>
        <v>1.0278</v>
      </c>
      <c r="L38" s="148"/>
      <c r="M38" s="148"/>
    </row>
    <row r="39" spans="2:13" ht="17.399999999999999" thickTop="1" thickBot="1" x14ac:dyDescent="0.4">
      <c r="B39" s="142"/>
      <c r="C39" s="142"/>
      <c r="D39" s="155"/>
      <c r="E39" s="187"/>
      <c r="F39" s="190" t="s">
        <v>115</v>
      </c>
      <c r="G39" s="185">
        <f>[1]!IntrinioFinancials(ticker,"calculations",0,"TTM","efftaxrate")</f>
        <v>0.15183099999999999</v>
      </c>
      <c r="H39" s="194"/>
      <c r="I39" s="193" t="s">
        <v>129</v>
      </c>
      <c r="J39" s="238">
        <v>0</v>
      </c>
    </row>
    <row r="40" spans="2:13" ht="18.600000000000001" thickBot="1" x14ac:dyDescent="0.4">
      <c r="B40" s="399" t="s">
        <v>106</v>
      </c>
      <c r="C40" s="399"/>
      <c r="D40" s="157">
        <f>[1]!IntrinioDataPoint(ticker,"close_price")</f>
        <v>205.22</v>
      </c>
      <c r="E40" s="156"/>
      <c r="F40" s="237" t="s">
        <v>131</v>
      </c>
      <c r="G40" s="186" t="str">
        <f>IFERROR(G38*(1-G39),"")</f>
        <v/>
      </c>
      <c r="H40" s="148"/>
      <c r="I40" s="191" t="s">
        <v>130</v>
      </c>
      <c r="J40" s="196" t="e">
        <f>J36+J37*J38+J39</f>
        <v>#VALUE!</v>
      </c>
    </row>
    <row r="41" spans="2:13" ht="22.8" thickTop="1" x14ac:dyDescent="0.45">
      <c r="B41" s="158"/>
      <c r="C41" s="159" t="s">
        <v>107</v>
      </c>
      <c r="D41" s="160" t="str">
        <f ca="1">IFERROR(IF(D38&gt;D40,IF(D38&lt;0,"NA",(D38-D40)/D38*100),IF(D38&lt;0,"NA",-(D40-D38)/D40*100)),"")</f>
        <v>NA</v>
      </c>
      <c r="E41" s="156"/>
      <c r="F41" s="187"/>
      <c r="G41" s="187"/>
      <c r="H41" s="150"/>
      <c r="I41" s="150"/>
    </row>
    <row r="42" spans="2:13" ht="16.2" x14ac:dyDescent="0.3">
      <c r="E42" s="187"/>
      <c r="F42" s="187"/>
      <c r="G42" s="187"/>
      <c r="H42" s="147"/>
      <c r="I42" s="147"/>
    </row>
    <row r="43" spans="2:13" x14ac:dyDescent="0.3">
      <c r="I43" s="195"/>
    </row>
    <row r="44" spans="2:13" x14ac:dyDescent="0.3">
      <c r="I44" s="195"/>
    </row>
    <row r="45" spans="2:13" x14ac:dyDescent="0.3">
      <c r="I45" s="195"/>
    </row>
    <row r="46" spans="2:13" x14ac:dyDescent="0.3">
      <c r="I46" s="195"/>
    </row>
    <row r="47" spans="2:13" x14ac:dyDescent="0.3">
      <c r="I47" s="195"/>
    </row>
    <row r="48" spans="2:13" x14ac:dyDescent="0.3">
      <c r="I48" s="195"/>
    </row>
  </sheetData>
  <mergeCells count="17">
    <mergeCell ref="B40:C40"/>
    <mergeCell ref="B35:C35"/>
    <mergeCell ref="B37:C37"/>
    <mergeCell ref="B38:C38"/>
    <mergeCell ref="B33:C33"/>
    <mergeCell ref="B34:C34"/>
    <mergeCell ref="B30:C30"/>
    <mergeCell ref="B31:C31"/>
    <mergeCell ref="B32:C32"/>
    <mergeCell ref="B27:C27"/>
    <mergeCell ref="B28:C28"/>
    <mergeCell ref="B29:C29"/>
    <mergeCell ref="B20:C20"/>
    <mergeCell ref="B22:C22"/>
    <mergeCell ref="B24:C24"/>
    <mergeCell ref="B25:C25"/>
    <mergeCell ref="B19:C19"/>
  </mergeCells>
  <conditionalFormatting sqref="P27">
    <cfRule type="cellIs" dxfId="11" priority="2" operator="greaterThan">
      <formula>0</formula>
    </cfRule>
    <cfRule type="cellIs" dxfId="10" priority="3" operator="lessThan">
      <formula>0</formula>
    </cfRule>
  </conditionalFormatting>
  <conditionalFormatting sqref="D41">
    <cfRule type="colorScale" priority="1">
      <colorScale>
        <cfvo type="num" val="-100"/>
        <cfvo type="num" val="0"/>
        <cfvo type="num" val="100"/>
        <color rgb="FFF8696B"/>
        <color rgb="FFFFEB84"/>
        <color rgb="FF63BE7B"/>
      </colorScale>
    </cfRule>
  </conditionalFormatting>
  <pageMargins left="0.7" right="0.7" top="0.75" bottom="0.75" header="0.3" footer="0.3"/>
  <pageSetup scale="74" orientation="landscape" r:id="rId1"/>
  <headerFooter>
    <oddHeader>&amp;LApple Inc (AAPL)          $116.52&amp;RReport Date: 12/26/2016</oddHeader>
    <oddFooter>&amp;L&amp;G&amp;R&amp;P</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pageSetUpPr fitToPage="1"/>
  </sheetPr>
  <dimension ref="A1:J22"/>
  <sheetViews>
    <sheetView showGridLines="0" view="pageBreakPreview" zoomScale="80" zoomScaleNormal="100" zoomScaleSheetLayoutView="80" workbookViewId="0"/>
  </sheetViews>
  <sheetFormatPr defaultColWidth="9.109375" defaultRowHeight="14.4" x14ac:dyDescent="0.3"/>
  <cols>
    <col min="1" max="1" width="2.44140625" style="18" customWidth="1"/>
    <col min="2" max="2" width="30.109375" style="18" customWidth="1"/>
    <col min="3" max="3" width="11.44140625" style="18" customWidth="1"/>
    <col min="4" max="4" width="12.44140625" style="18" customWidth="1"/>
    <col min="5" max="5" width="22.77734375" style="18" bestFit="1" customWidth="1"/>
    <col min="6" max="9" width="15.5546875" style="18" customWidth="1"/>
    <col min="10" max="10" width="0.88671875" style="18" customWidth="1"/>
    <col min="11" max="11" width="15.44140625" style="18" customWidth="1"/>
    <col min="12" max="12" width="14.44140625" style="18" customWidth="1"/>
    <col min="13" max="16384" width="9.109375" style="18"/>
  </cols>
  <sheetData>
    <row r="1" spans="1:10" ht="16.2" x14ac:dyDescent="0.35">
      <c r="A1" s="23" t="s">
        <v>155</v>
      </c>
    </row>
    <row r="3" spans="1:10" s="259" customFormat="1" ht="17.399999999999999" customHeight="1" x14ac:dyDescent="0.3">
      <c r="B3" s="260"/>
      <c r="C3" s="261"/>
      <c r="D3" s="262"/>
      <c r="E3" s="262"/>
      <c r="F3" s="262" t="s">
        <v>112</v>
      </c>
      <c r="G3" s="262" t="s">
        <v>148</v>
      </c>
      <c r="H3" s="262" t="s">
        <v>50</v>
      </c>
      <c r="I3" s="262" t="s">
        <v>50</v>
      </c>
      <c r="J3" s="263"/>
    </row>
    <row r="4" spans="1:10" s="259" customFormat="1" ht="17.399999999999999" customHeight="1" x14ac:dyDescent="0.3">
      <c r="B4" s="260"/>
      <c r="C4" s="261"/>
      <c r="D4" s="262"/>
      <c r="E4" s="262" t="s">
        <v>149</v>
      </c>
      <c r="F4" s="262" t="s">
        <v>150</v>
      </c>
      <c r="G4" s="262" t="s">
        <v>150</v>
      </c>
      <c r="H4" s="262" t="s">
        <v>66</v>
      </c>
      <c r="I4" s="262" t="s">
        <v>133</v>
      </c>
      <c r="J4" s="263"/>
    </row>
    <row r="5" spans="1:10" s="259" customFormat="1" ht="17.399999999999999" customHeight="1" x14ac:dyDescent="0.3">
      <c r="B5" s="264" t="s">
        <v>151</v>
      </c>
      <c r="C5" s="265" t="s">
        <v>152</v>
      </c>
      <c r="D5" s="262" t="s">
        <v>153</v>
      </c>
      <c r="E5" s="262" t="s">
        <v>154</v>
      </c>
      <c r="F5" s="262" t="s">
        <v>156</v>
      </c>
      <c r="G5" s="262" t="s">
        <v>156</v>
      </c>
      <c r="H5" s="262" t="s">
        <v>156</v>
      </c>
      <c r="I5" s="262" t="s">
        <v>156</v>
      </c>
      <c r="J5" s="263"/>
    </row>
    <row r="6" spans="1:10" ht="22.5" customHeight="1" x14ac:dyDescent="0.35">
      <c r="B6" s="266" t="str">
        <f>[1]!IntrinioDataPoint(C6,"name")</f>
        <v>Apple Inc</v>
      </c>
      <c r="C6" s="267" t="str">
        <f>IF(ticker="","",ticker)</f>
        <v>AAPL</v>
      </c>
      <c r="D6" s="268">
        <f>[1]!IntrinioDataPoint(C6,"employees")</f>
        <v>116000</v>
      </c>
      <c r="E6" s="269" t="str">
        <f>[1]!IntrinioDataPoint(C6,"next_earnings_date")</f>
        <v>2019-07-30</v>
      </c>
      <c r="F6" s="270">
        <f>IFERROR([1]!IntrinioDataPoint(C6,"marketcap")/1000000,"")</f>
        <v>953573.04755999998</v>
      </c>
      <c r="G6" s="270">
        <f>IFERROR([1]!IntrinioDataPoint(C6,"enterprisevalue")/1000000,"")</f>
        <v>840768.04755999998</v>
      </c>
      <c r="H6" s="270">
        <f>IFERROR([1]!IntrinioDataPoint(C6,"totalrevenue")/1000000,"")</f>
        <v>253768</v>
      </c>
      <c r="I6" s="270">
        <f>IFERROR([1]!IntrinioDataPoint(C6,"netincome")/1000000,"")</f>
        <v>57170</v>
      </c>
      <c r="J6" s="20"/>
    </row>
    <row r="7" spans="1:10" ht="54" customHeight="1" x14ac:dyDescent="0.3">
      <c r="B7" s="402" t="str">
        <f>[1]!IntrinioDataPoint(C6,"short_description")</f>
        <v>Apple, Inc. engages in the design, manufacture, and marketing of mobile communication, media devices, personal computers, and portable digital music players. It operates through the following geographical segments: Americas, Europe, Greater China, Japan, and Rest of Asia Pacific. The Americas segment includes both North and South America. The Europe segment consists of European countries, as well as India, the Middle East, and Africa. The Greater China segment comprises of China, Hong Kong, and Taiwan. The Rest of Asia Pacific segment includes Australia and Asian countries not included in the reportable operating segments of the company. The company was founded by Steven Paul Jobs, Ronald Gerald Wayne, and Stephen G. Wozniak on April 1, 1976 and is headquartered in Cupertino, CA.</v>
      </c>
      <c r="C7" s="402"/>
      <c r="D7" s="402"/>
      <c r="E7" s="402"/>
      <c r="F7" s="402"/>
      <c r="G7" s="402"/>
      <c r="H7" s="402"/>
      <c r="I7" s="402"/>
      <c r="J7" s="20"/>
    </row>
    <row r="8" spans="1:10" ht="22.5" customHeight="1" x14ac:dyDescent="0.35">
      <c r="B8" s="254" t="str">
        <f>[1]!IntrinioDataPoint(C8,"name")</f>
        <v/>
      </c>
      <c r="C8" s="255" t="str">
        <f>IF(comp1="","",comp1)</f>
        <v/>
      </c>
      <c r="D8" s="256" t="str">
        <f>[1]!IntrinioDataPoint(C8,"employees")</f>
        <v/>
      </c>
      <c r="E8" s="257" t="str">
        <f>[1]!IntrinioDataPoint(C8,"next_earnings_date")</f>
        <v/>
      </c>
      <c r="F8" s="258" t="str">
        <f>IFERROR([1]!IntrinioDataPoint(C8,"marketcap")/1000000,"")</f>
        <v/>
      </c>
      <c r="G8" s="258" t="str">
        <f>IFERROR([1]!IntrinioDataPoint(C8,"enterprisevalue")/1000000,"")</f>
        <v/>
      </c>
      <c r="H8" s="258" t="str">
        <f>IFERROR([1]!IntrinioDataPoint(C8,"totalrevenue")/1000000,"")</f>
        <v/>
      </c>
      <c r="I8" s="258" t="str">
        <f>IFERROR([1]!IntrinioDataPoint(C8,"netincome")/1000000,"")</f>
        <v/>
      </c>
      <c r="J8" s="20"/>
    </row>
    <row r="9" spans="1:10" ht="54" customHeight="1" x14ac:dyDescent="0.3">
      <c r="B9" s="401" t="str">
        <f>[1]!IntrinioDataPoint(C8,"short_description")</f>
        <v/>
      </c>
      <c r="C9" s="401"/>
      <c r="D9" s="401"/>
      <c r="E9" s="401"/>
      <c r="F9" s="401"/>
      <c r="G9" s="401"/>
      <c r="H9" s="401"/>
      <c r="I9" s="401"/>
      <c r="J9" s="20"/>
    </row>
    <row r="10" spans="1:10" ht="22.5" customHeight="1" x14ac:dyDescent="0.35">
      <c r="B10" s="254" t="str">
        <f>[1]!IntrinioDataPoint(C10,"name")</f>
        <v/>
      </c>
      <c r="C10" s="255" t="str">
        <f>IF(comp1="","",comp2)</f>
        <v/>
      </c>
      <c r="D10" s="256" t="str">
        <f>[1]!IntrinioDataPoint(C10,"employees")</f>
        <v/>
      </c>
      <c r="E10" s="257" t="str">
        <f>[1]!IntrinioDataPoint(C10,"next_earnings_date")</f>
        <v/>
      </c>
      <c r="F10" s="258" t="str">
        <f>IFERROR([1]!IntrinioDataPoint(C10,"marketcap")/1000000,"")</f>
        <v/>
      </c>
      <c r="G10" s="258" t="str">
        <f>IFERROR([1]!IntrinioDataPoint(C10,"enterprisevalue")/1000000,"")</f>
        <v/>
      </c>
      <c r="H10" s="258" t="str">
        <f>IFERROR([1]!IntrinioDataPoint(C10,"totalrevenue")/1000000,"")</f>
        <v/>
      </c>
      <c r="I10" s="258" t="str">
        <f>IFERROR([1]!IntrinioDataPoint(C10,"netincome")/1000000,"")</f>
        <v/>
      </c>
      <c r="J10" s="20"/>
    </row>
    <row r="11" spans="1:10" ht="54" customHeight="1" x14ac:dyDescent="0.3">
      <c r="B11" s="401" t="str">
        <f>[1]!IntrinioDataPoint(C10,"short_description")</f>
        <v/>
      </c>
      <c r="C11" s="401"/>
      <c r="D11" s="401"/>
      <c r="E11" s="401"/>
      <c r="F11" s="401"/>
      <c r="G11" s="401"/>
      <c r="H11" s="401"/>
      <c r="I11" s="401"/>
      <c r="J11" s="20"/>
    </row>
    <row r="12" spans="1:10" ht="22.5" customHeight="1" x14ac:dyDescent="0.35">
      <c r="B12" s="254" t="str">
        <f>[1]!IntrinioDataPoint(C12,"name")</f>
        <v/>
      </c>
      <c r="C12" s="255" t="str">
        <f>IF(comp1="","",comp3)</f>
        <v/>
      </c>
      <c r="D12" s="256" t="str">
        <f>[1]!IntrinioDataPoint(C12,"employees")</f>
        <v/>
      </c>
      <c r="E12" s="257" t="str">
        <f>[1]!IntrinioDataPoint(C12,"next_earnings_date")</f>
        <v/>
      </c>
      <c r="F12" s="258" t="str">
        <f>IFERROR([1]!IntrinioDataPoint(C12,"marketcap")/1000000,"")</f>
        <v/>
      </c>
      <c r="G12" s="258" t="str">
        <f>IFERROR([1]!IntrinioDataPoint(C12,"enterprisevalue")/1000000,"")</f>
        <v/>
      </c>
      <c r="H12" s="258" t="str">
        <f>IFERROR([1]!IntrinioDataPoint(C12,"totalrevenue")/1000000,"")</f>
        <v/>
      </c>
      <c r="I12" s="258" t="str">
        <f>IFERROR([1]!IntrinioDataPoint(C12,"netincome")/1000000,"")</f>
        <v/>
      </c>
    </row>
    <row r="13" spans="1:10" ht="54" customHeight="1" x14ac:dyDescent="0.3">
      <c r="B13" s="401" t="str">
        <f>[1]!IntrinioDataPoint(C12,"short_description")</f>
        <v/>
      </c>
      <c r="C13" s="401"/>
      <c r="D13" s="401"/>
      <c r="E13" s="401"/>
      <c r="F13" s="401"/>
      <c r="G13" s="401"/>
      <c r="H13" s="401"/>
      <c r="I13" s="401"/>
      <c r="J13" s="20"/>
    </row>
    <row r="14" spans="1:10" ht="22.5" customHeight="1" x14ac:dyDescent="0.35">
      <c r="B14" s="254" t="str">
        <f>[1]!IntrinioDataPoint(C14,"name")</f>
        <v/>
      </c>
      <c r="C14" s="255" t="str">
        <f>IF(comp1="","",comp4)</f>
        <v/>
      </c>
      <c r="D14" s="256" t="str">
        <f>[1]!IntrinioDataPoint(C14,"employees")</f>
        <v/>
      </c>
      <c r="E14" s="257" t="str">
        <f>[1]!IntrinioDataPoint(C14,"next_earnings_date")</f>
        <v/>
      </c>
      <c r="F14" s="258" t="str">
        <f>IFERROR([1]!IntrinioDataPoint(C14,"marketcap")/1000000,"")</f>
        <v/>
      </c>
      <c r="G14" s="258" t="str">
        <f>IFERROR([1]!IntrinioDataPoint(C14,"enterprisevalue")/1000000,"")</f>
        <v/>
      </c>
      <c r="H14" s="258" t="str">
        <f>IFERROR([1]!IntrinioDataPoint(C14,"totalrevenue")/1000000,"")</f>
        <v/>
      </c>
      <c r="I14" s="258" t="str">
        <f>IFERROR([1]!IntrinioDataPoint(C14,"netincome")/1000000,"")</f>
        <v/>
      </c>
      <c r="J14" s="19"/>
    </row>
    <row r="15" spans="1:10" ht="54" customHeight="1" x14ac:dyDescent="0.3">
      <c r="B15" s="401" t="str">
        <f>[1]!IntrinioDataPoint(C14,"short_description")</f>
        <v/>
      </c>
      <c r="C15" s="401"/>
      <c r="D15" s="401"/>
      <c r="E15" s="401"/>
      <c r="F15" s="401"/>
      <c r="G15" s="401"/>
      <c r="H15" s="401"/>
      <c r="I15" s="401"/>
      <c r="J15" s="20"/>
    </row>
    <row r="16" spans="1:10" ht="22.5" customHeight="1" x14ac:dyDescent="0.35">
      <c r="B16" s="254" t="str">
        <f>[1]!IntrinioDataPoint(C16,"name")</f>
        <v/>
      </c>
      <c r="C16" s="255" t="str">
        <f>IF(comp1="","",comp5)</f>
        <v/>
      </c>
      <c r="D16" s="256" t="str">
        <f>[1]!IntrinioDataPoint(C16,"employees")</f>
        <v/>
      </c>
      <c r="E16" s="257" t="str">
        <f>[1]!IntrinioDataPoint(C16,"next_earnings_date")</f>
        <v/>
      </c>
      <c r="F16" s="258" t="str">
        <f>IFERROR([1]!IntrinioDataPoint(C16,"marketcap")/1000000,"")</f>
        <v/>
      </c>
      <c r="G16" s="258" t="str">
        <f>IFERROR([1]!IntrinioDataPoint(C16,"enterprisevalue")/1000000,"")</f>
        <v/>
      </c>
      <c r="H16" s="258" t="str">
        <f>IFERROR([1]!IntrinioDataPoint(C16,"totalrevenue")/1000000,"")</f>
        <v/>
      </c>
      <c r="I16" s="258" t="str">
        <f>IFERROR([1]!IntrinioDataPoint(C16,"netincome")/1000000,"")</f>
        <v/>
      </c>
    </row>
    <row r="17" spans="2:10" ht="54" customHeight="1" x14ac:dyDescent="0.3">
      <c r="B17" s="401" t="str">
        <f>[1]!IntrinioDataPoint(C16,"short_description")</f>
        <v/>
      </c>
      <c r="C17" s="401"/>
      <c r="D17" s="401"/>
      <c r="E17" s="401"/>
      <c r="F17" s="401"/>
      <c r="G17" s="401"/>
      <c r="H17" s="401"/>
      <c r="I17" s="401"/>
      <c r="J17" s="20"/>
    </row>
    <row r="18" spans="2:10" x14ac:dyDescent="0.3">
      <c r="C18" s="3"/>
      <c r="D18" s="3"/>
      <c r="E18" s="3"/>
      <c r="F18" s="3"/>
      <c r="G18" s="3"/>
      <c r="H18" s="3"/>
      <c r="I18" s="3"/>
    </row>
    <row r="19" spans="2:10" x14ac:dyDescent="0.3">
      <c r="C19" s="3"/>
      <c r="D19" s="3"/>
      <c r="E19" s="3"/>
      <c r="F19" s="3"/>
      <c r="G19" s="3"/>
      <c r="H19" s="3"/>
      <c r="I19" s="3"/>
    </row>
    <row r="20" spans="2:10" x14ac:dyDescent="0.3">
      <c r="C20" s="3"/>
      <c r="D20" s="3"/>
      <c r="E20" s="3"/>
      <c r="F20" s="3"/>
      <c r="G20" s="3"/>
      <c r="H20" s="3"/>
      <c r="I20" s="3"/>
    </row>
    <row r="21" spans="2:10" x14ac:dyDescent="0.3">
      <c r="C21" s="3"/>
      <c r="D21" s="3"/>
      <c r="E21" s="3"/>
      <c r="F21" s="3"/>
      <c r="G21" s="3"/>
      <c r="H21" s="3"/>
      <c r="I21" s="3"/>
    </row>
    <row r="22" spans="2:10" x14ac:dyDescent="0.3">
      <c r="C22" s="3"/>
      <c r="D22" s="3"/>
      <c r="E22" s="3"/>
      <c r="F22" s="3"/>
      <c r="G22" s="3"/>
      <c r="H22" s="3"/>
      <c r="I22" s="3"/>
    </row>
  </sheetData>
  <mergeCells count="6">
    <mergeCell ref="B17:I17"/>
    <mergeCell ref="B7:I7"/>
    <mergeCell ref="B9:I9"/>
    <mergeCell ref="B11:I11"/>
    <mergeCell ref="B13:I13"/>
    <mergeCell ref="B15:I15"/>
  </mergeCells>
  <conditionalFormatting sqref="J3:J5">
    <cfRule type="cellIs" dxfId="9" priority="1" operator="greaterThan">
      <formula>0</formula>
    </cfRule>
    <cfRule type="cellIs" dxfId="8" priority="2" operator="lessThan">
      <formula>0</formula>
    </cfRule>
  </conditionalFormatting>
  <pageMargins left="0.7" right="0.7" top="0.75" bottom="0.75" header="0.3" footer="0.3"/>
  <pageSetup scale="84" orientation="landscape" r:id="rId1"/>
  <headerFooter>
    <oddHeader>&amp;LApple Inc (AAPL)          $116.52&amp;RReport Date: 12/26/2016</oddHeader>
    <oddFooter>&amp;L&amp;G&amp;R&amp;P</oddFooter>
  </headerFooter>
  <ignoredErrors>
    <ignoredError sqref="C11:I11 C13:I13 C15:I15" formula="1"/>
  </ignoredErrors>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9"/>
    <pageSetUpPr fitToPage="1"/>
  </sheetPr>
  <dimension ref="A1:M42"/>
  <sheetViews>
    <sheetView showGridLines="0" view="pageBreakPreview" zoomScale="80" zoomScaleNormal="100" zoomScaleSheetLayoutView="80" workbookViewId="0"/>
  </sheetViews>
  <sheetFormatPr defaultColWidth="9.109375" defaultRowHeight="14.4" x14ac:dyDescent="0.3"/>
  <cols>
    <col min="1" max="1" width="2.44140625" style="18" customWidth="1"/>
    <col min="2" max="2" width="20.44140625" style="18" customWidth="1"/>
    <col min="3" max="10" width="11.77734375" style="18" customWidth="1"/>
    <col min="11" max="11" width="0.88671875" style="18" customWidth="1"/>
    <col min="12" max="12" width="15.44140625" style="18" customWidth="1"/>
    <col min="13" max="13" width="14.44140625" style="18" customWidth="1"/>
    <col min="14" max="16384" width="9.109375" style="18"/>
  </cols>
  <sheetData>
    <row r="1" spans="1:13" ht="16.2" x14ac:dyDescent="0.35">
      <c r="A1" s="23" t="s">
        <v>146</v>
      </c>
    </row>
    <row r="3" spans="1:13" ht="21.9" customHeight="1" x14ac:dyDescent="0.3">
      <c r="B3" s="117"/>
      <c r="C3" s="117"/>
      <c r="D3" s="117"/>
      <c r="E3" s="117"/>
      <c r="F3" s="117"/>
      <c r="G3" s="117"/>
      <c r="H3" s="117"/>
      <c r="I3" s="117"/>
      <c r="J3" s="117"/>
      <c r="K3" s="17"/>
      <c r="L3" s="17"/>
      <c r="M3" s="17"/>
    </row>
    <row r="4" spans="1:13" ht="21.9" customHeight="1" x14ac:dyDescent="0.3">
      <c r="B4" s="117"/>
      <c r="C4" s="117"/>
      <c r="D4" s="117"/>
      <c r="E4" s="117"/>
      <c r="F4" s="117"/>
      <c r="G4" s="117"/>
      <c r="H4" s="117"/>
      <c r="I4" s="117"/>
      <c r="J4" s="117"/>
      <c r="K4" s="17"/>
      <c r="L4" s="17"/>
      <c r="M4" s="17"/>
    </row>
    <row r="5" spans="1:13" ht="21.9" customHeight="1" x14ac:dyDescent="0.3">
      <c r="B5" s="117"/>
      <c r="C5" s="117"/>
      <c r="D5" s="117"/>
      <c r="E5" s="117"/>
      <c r="F5" s="117"/>
      <c r="G5" s="117"/>
      <c r="H5" s="117"/>
      <c r="I5" s="117"/>
      <c r="J5" s="117"/>
      <c r="K5" s="17"/>
      <c r="L5" s="17"/>
      <c r="M5" s="17"/>
    </row>
    <row r="6" spans="1:13" ht="21.9" customHeight="1" x14ac:dyDescent="0.3">
      <c r="B6" s="117"/>
      <c r="C6" s="117"/>
      <c r="D6" s="117"/>
      <c r="E6" s="117"/>
      <c r="F6" s="117"/>
      <c r="G6" s="117"/>
      <c r="H6" s="117"/>
      <c r="I6" s="117"/>
      <c r="J6" s="117"/>
      <c r="K6" s="17"/>
      <c r="L6" s="17"/>
      <c r="M6" s="17"/>
    </row>
    <row r="7" spans="1:13" ht="21.9" customHeight="1" x14ac:dyDescent="0.3">
      <c r="B7" s="117"/>
      <c r="C7" s="117"/>
      <c r="D7" s="117"/>
      <c r="E7" s="117"/>
      <c r="F7" s="117"/>
      <c r="G7" s="117"/>
      <c r="H7" s="117"/>
      <c r="I7" s="117"/>
      <c r="J7" s="117"/>
      <c r="K7" s="17"/>
      <c r="L7" s="17"/>
      <c r="M7" s="17"/>
    </row>
    <row r="8" spans="1:13" ht="21.9" customHeight="1" x14ac:dyDescent="0.3">
      <c r="B8" s="117"/>
      <c r="C8" s="117"/>
      <c r="D8" s="117"/>
      <c r="E8" s="117"/>
      <c r="F8" s="117"/>
      <c r="G8" s="117"/>
      <c r="H8" s="117"/>
      <c r="I8" s="117"/>
      <c r="J8" s="117"/>
      <c r="K8" s="17"/>
      <c r="L8" s="17"/>
      <c r="M8" s="17"/>
    </row>
    <row r="9" spans="1:13" ht="21.9" customHeight="1" x14ac:dyDescent="0.3">
      <c r="B9" s="117"/>
      <c r="C9" s="117"/>
      <c r="D9" s="117"/>
      <c r="E9" s="117"/>
      <c r="F9" s="117"/>
      <c r="G9" s="117"/>
      <c r="H9" s="117"/>
      <c r="I9" s="117"/>
      <c r="J9" s="117"/>
      <c r="K9" s="17"/>
      <c r="L9" s="17"/>
      <c r="M9" s="17"/>
    </row>
    <row r="10" spans="1:13" ht="21.9" customHeight="1" x14ac:dyDescent="0.3">
      <c r="B10" s="117"/>
      <c r="C10" s="117"/>
      <c r="D10" s="117"/>
      <c r="E10" s="117"/>
      <c r="F10" s="117"/>
      <c r="G10" s="117"/>
      <c r="H10" s="117"/>
      <c r="I10" s="117"/>
      <c r="J10" s="117"/>
      <c r="K10" s="17"/>
      <c r="L10" s="17"/>
      <c r="M10" s="17"/>
    </row>
    <row r="11" spans="1:13" ht="21.9" customHeight="1" x14ac:dyDescent="0.3">
      <c r="B11" s="117"/>
      <c r="C11" s="117"/>
      <c r="D11" s="117"/>
      <c r="E11" s="117"/>
      <c r="F11" s="117"/>
      <c r="G11" s="117"/>
      <c r="H11" s="117"/>
      <c r="I11" s="117"/>
      <c r="J11" s="117"/>
      <c r="K11" s="17"/>
      <c r="L11" s="17"/>
      <c r="M11" s="17"/>
    </row>
    <row r="12" spans="1:13" ht="21.9" customHeight="1" x14ac:dyDescent="0.3">
      <c r="B12" s="104"/>
      <c r="C12" s="105" t="str">
        <f>IF(ticker="","",ticker)</f>
        <v>AAPL</v>
      </c>
      <c r="D12" s="106" t="str">
        <f>IF(D28=0,"",D28)</f>
        <v/>
      </c>
      <c r="E12" s="106" t="str">
        <f>IF(E28=0,"",E28)</f>
        <v/>
      </c>
      <c r="F12" s="106" t="str">
        <f>IF(F28=0,"",F28)</f>
        <v/>
      </c>
      <c r="G12" s="106" t="str">
        <f>IF(G28=0,"",G28)</f>
        <v/>
      </c>
      <c r="H12" s="106" t="str">
        <f>IF(H28=0,"",H28)</f>
        <v/>
      </c>
      <c r="I12" s="105" t="s">
        <v>144</v>
      </c>
      <c r="J12" s="106" t="s">
        <v>145</v>
      </c>
      <c r="L12" s="1"/>
    </row>
    <row r="13" spans="1:13" ht="21.9" customHeight="1" x14ac:dyDescent="0.3">
      <c r="B13" s="245" t="s">
        <v>135</v>
      </c>
      <c r="C13" s="246">
        <f>IFERROR([1]!IntrinioFinancials(C$12,"income_statement",0,"FY","totalgrossprofit","A")/1000000,"")</f>
        <v>101839</v>
      </c>
      <c r="D13" s="247" t="str">
        <f>IFERROR([1]!IntrinioFinancials(D$12,"income_statement",0,"FY","totalgrossprofit","A")/1000000,"")</f>
        <v/>
      </c>
      <c r="E13" s="247" t="str">
        <f>IFERROR([1]!IntrinioFinancials(E$12,"income_statement",0,"FY","totalgrossprofit","A")/1000000,"")</f>
        <v/>
      </c>
      <c r="F13" s="247" t="str">
        <f>IFERROR([1]!IntrinioFinancials(F$12,"income_statement",0,"FY","totalgrossprofit","A")/1000000,"")</f>
        <v/>
      </c>
      <c r="G13" s="247" t="str">
        <f>IFERROR([1]!IntrinioFinancials(G$12,"income_statement",0,"FY","totalgrossprofit","A")/1000000,"")</f>
        <v/>
      </c>
      <c r="H13" s="247" t="str">
        <f>IFERROR([1]!IntrinioFinancials(H$12,"income_statement",0,"FY","totalgrossprofit","A")/1000000,"")</f>
        <v/>
      </c>
      <c r="I13" s="246">
        <f t="shared" ref="I13:I22" si="0">IFERROR(AVERAGE(C13:H13),"nm")</f>
        <v>101839</v>
      </c>
      <c r="J13" s="247">
        <f t="shared" ref="J13:J22" si="1">IFERROR(MEDIAN(C13:H13),"nm")</f>
        <v>101839</v>
      </c>
      <c r="K13" s="17"/>
      <c r="L13" s="17"/>
      <c r="M13" s="17"/>
    </row>
    <row r="14" spans="1:13" s="242" customFormat="1" x14ac:dyDescent="0.35">
      <c r="B14" s="248" t="s">
        <v>136</v>
      </c>
      <c r="C14" s="249">
        <f>[1]!IntrinioFinancials(C$12,"calculations",0,"FY","grossmargin")</f>
        <v>0.38343699999999997</v>
      </c>
      <c r="D14" s="250" t="str">
        <f>[1]!IntrinioFinancials(D$12,"calculations",0,"FY","grossmargin")</f>
        <v/>
      </c>
      <c r="E14" s="250" t="str">
        <f>[1]!IntrinioFinancials(E$12,"calculations",0,"FY","grossmargin")</f>
        <v/>
      </c>
      <c r="F14" s="250" t="str">
        <f>[1]!IntrinioFinancials(F$12,"calculations",0,"FY","grossmargin")</f>
        <v/>
      </c>
      <c r="G14" s="250" t="str">
        <f>[1]!IntrinioFinancials(G$12,"calculations",0,"FY","grossmargin")</f>
        <v/>
      </c>
      <c r="H14" s="250" t="str">
        <f>[1]!IntrinioFinancials(H$12,"calculations",0,"FY","grossmargin")</f>
        <v/>
      </c>
      <c r="I14" s="249">
        <f t="shared" si="0"/>
        <v>0.38343699999999997</v>
      </c>
      <c r="J14" s="250">
        <f t="shared" si="1"/>
        <v>0.38343699999999997</v>
      </c>
      <c r="K14" s="243"/>
      <c r="L14" s="243"/>
      <c r="M14" s="243"/>
    </row>
    <row r="15" spans="1:13" ht="21.75" customHeight="1" x14ac:dyDescent="0.3">
      <c r="B15" s="245" t="s">
        <v>132</v>
      </c>
      <c r="C15" s="246">
        <f>IFERROR([1]!IntrinioFinancials(C$12,"income_statement",0,"FY","totaloperatingincome","A")/1000000,"")</f>
        <v>70898</v>
      </c>
      <c r="D15" s="247" t="str">
        <f>IFERROR([1]!IntrinioFinancials(D$12,"income_statement",0,"FY","totaloperatingincome","A")/1000000,"")</f>
        <v/>
      </c>
      <c r="E15" s="247" t="str">
        <f>IFERROR([1]!IntrinioFinancials(E$12,"income_statement",0,"FY","totaloperatingincome","A")/1000000,"")</f>
        <v/>
      </c>
      <c r="F15" s="247" t="str">
        <f>IFERROR([1]!IntrinioFinancials(F$12,"income_statement",0,"FY","totaloperatingincome","A")/1000000,"")</f>
        <v/>
      </c>
      <c r="G15" s="247" t="str">
        <f>IFERROR([1]!IntrinioFinancials(G$12,"income_statement",0,"FY","totaloperatingincome","A")/1000000,"")</f>
        <v/>
      </c>
      <c r="H15" s="247" t="str">
        <f>IFERROR([1]!IntrinioFinancials(H$12,"income_statement",0,"FY","totaloperatingincome","A")/1000000,"")</f>
        <v/>
      </c>
      <c r="I15" s="246">
        <f t="shared" si="0"/>
        <v>70898</v>
      </c>
      <c r="J15" s="247">
        <f t="shared" si="1"/>
        <v>70898</v>
      </c>
      <c r="K15" s="17"/>
      <c r="L15" s="17"/>
      <c r="M15" s="17"/>
    </row>
    <row r="16" spans="1:13" s="242" customFormat="1" x14ac:dyDescent="0.35">
      <c r="B16" s="248" t="s">
        <v>136</v>
      </c>
      <c r="C16" s="249">
        <f>[1]!IntrinioFinancials(C$12,"calculations",0,"FY","operatingmargin")</f>
        <v>0.26694000000000001</v>
      </c>
      <c r="D16" s="250" t="str">
        <f>[1]!IntrinioFinancials(D$12,"calculations",0,"FY","operatingmargin")</f>
        <v/>
      </c>
      <c r="E16" s="250" t="str">
        <f>[1]!IntrinioFinancials(E$12,"calculations",0,"FY","operatingmargin")</f>
        <v/>
      </c>
      <c r="F16" s="250" t="str">
        <f>[1]!IntrinioFinancials(F$12,"calculations",0,"FY","operatingmargin")</f>
        <v/>
      </c>
      <c r="G16" s="250" t="str">
        <f>[1]!IntrinioFinancials(G$12,"calculations",0,"FY","operatingmargin")</f>
        <v/>
      </c>
      <c r="H16" s="250" t="str">
        <f>[1]!IntrinioFinancials(H$12,"calculations",0,"FY","operatingmargin")</f>
        <v/>
      </c>
      <c r="I16" s="249">
        <f t="shared" si="0"/>
        <v>0.26694000000000001</v>
      </c>
      <c r="J16" s="250">
        <f t="shared" si="1"/>
        <v>0.26694000000000001</v>
      </c>
      <c r="K16" s="243"/>
      <c r="L16" s="243"/>
      <c r="M16" s="243"/>
    </row>
    <row r="17" spans="2:13" ht="21.75" customHeight="1" x14ac:dyDescent="0.3">
      <c r="B17" s="245" t="s">
        <v>139</v>
      </c>
      <c r="C17" s="246">
        <f>IFERROR([1]!IntrinioFinancials(C$12,"calculations",0,"FY","ebitda","A")/1000000,"")</f>
        <v>83806</v>
      </c>
      <c r="D17" s="247" t="str">
        <f>IFERROR([1]!IntrinioFinancials(D$12,"calculations",0,"FY","ebitda","A")/1000000,"")</f>
        <v/>
      </c>
      <c r="E17" s="247" t="str">
        <f>IFERROR([1]!IntrinioFinancials(E$12,"calculations",0,"FY","ebitda","A")/1000000,"")</f>
        <v/>
      </c>
      <c r="F17" s="247" t="str">
        <f>IFERROR([1]!IntrinioFinancials(F$12,"calculations",0,"FY","ebitda","A")/1000000,"")</f>
        <v/>
      </c>
      <c r="G17" s="247" t="str">
        <f>IFERROR([1]!IntrinioFinancials(G$12,"calculations",0,"FY","ebitda","A")/1000000,"")</f>
        <v/>
      </c>
      <c r="H17" s="247" t="str">
        <f>IFERROR([1]!IntrinioFinancials(H$12,"calculations",0,"FY","ebitda","A")/1000000,"")</f>
        <v/>
      </c>
      <c r="I17" s="246">
        <f t="shared" si="0"/>
        <v>83806</v>
      </c>
      <c r="J17" s="247">
        <f t="shared" si="1"/>
        <v>83806</v>
      </c>
      <c r="K17" s="17"/>
      <c r="L17" s="17"/>
      <c r="M17" s="17"/>
    </row>
    <row r="18" spans="2:13" s="242" customFormat="1" x14ac:dyDescent="0.35">
      <c r="B18" s="248" t="s">
        <v>136</v>
      </c>
      <c r="C18" s="249">
        <f>[1]!IntrinioFinancials(C$12,"calculations",0,"FY","ebitdamargin")</f>
        <v>0.31554100000000002</v>
      </c>
      <c r="D18" s="250" t="str">
        <f>[1]!IntrinioFinancials(D$12,"calculations",0,"FY","ebitdamargin")</f>
        <v/>
      </c>
      <c r="E18" s="250" t="str">
        <f>[1]!IntrinioFinancials(E$12,"calculations",0,"FY","ebitdamargin")</f>
        <v/>
      </c>
      <c r="F18" s="250" t="str">
        <f>[1]!IntrinioFinancials(F$12,"calculations",0,"FY","ebitdamargin")</f>
        <v/>
      </c>
      <c r="G18" s="250" t="str">
        <f>[1]!IntrinioFinancials(G$12,"calculations",0,"FY","ebitdamargin")</f>
        <v/>
      </c>
      <c r="H18" s="250" t="str">
        <f>[1]!IntrinioFinancials(H$12,"calculations",0,"FY","ebitdamargin")</f>
        <v/>
      </c>
      <c r="I18" s="249">
        <f t="shared" si="0"/>
        <v>0.31554100000000002</v>
      </c>
      <c r="J18" s="250">
        <f t="shared" si="1"/>
        <v>0.31554100000000002</v>
      </c>
      <c r="K18" s="243"/>
      <c r="L18" s="243"/>
      <c r="M18" s="243"/>
    </row>
    <row r="19" spans="2:13" ht="21.75" customHeight="1" x14ac:dyDescent="0.3">
      <c r="B19" s="245" t="s">
        <v>140</v>
      </c>
      <c r="C19" s="246">
        <f>IFERROR([1]!IntrinioFinancials(C$12,"calculations",0,"FY","ebit","A")/1000000,"")</f>
        <v>72903</v>
      </c>
      <c r="D19" s="247" t="str">
        <f>IFERROR([1]!IntrinioFinancials(D$12,"calculations",0,"FY","ebit","A")/1000000,"")</f>
        <v/>
      </c>
      <c r="E19" s="247" t="str">
        <f>IFERROR([1]!IntrinioFinancials(E$12,"calculations",0,"FY","ebit","A")/1000000,"")</f>
        <v/>
      </c>
      <c r="F19" s="247" t="str">
        <f>IFERROR([1]!IntrinioFinancials(F$12,"calculations",0,"FY","ebit","A")/1000000,"")</f>
        <v/>
      </c>
      <c r="G19" s="247" t="str">
        <f>IFERROR([1]!IntrinioFinancials(G$12,"calculations",0,"FY","ebit","A")/1000000,"")</f>
        <v/>
      </c>
      <c r="H19" s="247" t="str">
        <f>IFERROR([1]!IntrinioFinancials(H$12,"calculations",0,"FY","ebit","A")/1000000,"")</f>
        <v/>
      </c>
      <c r="I19" s="246">
        <f t="shared" si="0"/>
        <v>72903</v>
      </c>
      <c r="J19" s="247">
        <f t="shared" si="1"/>
        <v>72903</v>
      </c>
      <c r="K19" s="17"/>
      <c r="L19" s="17"/>
      <c r="M19" s="17"/>
    </row>
    <row r="20" spans="2:13" s="242" customFormat="1" x14ac:dyDescent="0.35">
      <c r="B20" s="248" t="s">
        <v>136</v>
      </c>
      <c r="C20" s="249">
        <f>[1]!IntrinioFinancials(C$12,"calculations",0,"FY","ebitmargin")</f>
        <v>0.27448899999999998</v>
      </c>
      <c r="D20" s="250" t="str">
        <f>[1]!IntrinioFinancials(D$12,"calculations",0,"FY","ebitmargin")</f>
        <v/>
      </c>
      <c r="E20" s="250" t="str">
        <f>[1]!IntrinioFinancials(E$12,"calculations",0,"FY","ebitmargin")</f>
        <v/>
      </c>
      <c r="F20" s="250" t="str">
        <f>[1]!IntrinioFinancials(F$12,"calculations",0,"FY","ebitmargin")</f>
        <v/>
      </c>
      <c r="G20" s="250" t="str">
        <f>[1]!IntrinioFinancials(G$12,"calculations",0,"FY","ebitmargin")</f>
        <v/>
      </c>
      <c r="H20" s="250" t="str">
        <f>[1]!IntrinioFinancials(H$12,"calculations",0,"FY","ebitmargin")</f>
        <v/>
      </c>
      <c r="I20" s="249">
        <f t="shared" si="0"/>
        <v>0.27448899999999998</v>
      </c>
      <c r="J20" s="250">
        <f t="shared" si="1"/>
        <v>0.27448899999999998</v>
      </c>
      <c r="K20" s="243"/>
      <c r="L20" s="243"/>
      <c r="M20" s="243"/>
    </row>
    <row r="21" spans="2:13" ht="21.75" customHeight="1" x14ac:dyDescent="0.3">
      <c r="B21" s="245" t="s">
        <v>133</v>
      </c>
      <c r="C21" s="246">
        <f>IFERROR([1]!IntrinioFinancials(C$12,"income_statement",0,"FY","netincome","A")/1000000,"")</f>
        <v>59531</v>
      </c>
      <c r="D21" s="247" t="str">
        <f>IFERROR([1]!IntrinioFinancials(D$12,"income_statement",0,"FY","netincome","A")/1000000,"")</f>
        <v/>
      </c>
      <c r="E21" s="247" t="str">
        <f>IFERROR([1]!IntrinioFinancials(E$12,"income_statement",0,"FY","netincome","A")/1000000,"")</f>
        <v/>
      </c>
      <c r="F21" s="247" t="str">
        <f>IFERROR([1]!IntrinioFinancials(F$12,"income_statement",0,"FY","netincome","A")/1000000,"")</f>
        <v/>
      </c>
      <c r="G21" s="247" t="str">
        <f>IFERROR([1]!IntrinioFinancials(G$12,"income_statement",0,"FY","netincome","A")/1000000,"")</f>
        <v/>
      </c>
      <c r="H21" s="247" t="str">
        <f>IFERROR([1]!IntrinioFinancials(H$12,"income_statement",0,"FY","netincome","A")/1000000,"")</f>
        <v/>
      </c>
      <c r="I21" s="246">
        <f t="shared" si="0"/>
        <v>59531</v>
      </c>
      <c r="J21" s="247">
        <f t="shared" si="1"/>
        <v>59531</v>
      </c>
      <c r="K21" s="17"/>
      <c r="L21" s="17"/>
      <c r="M21" s="17"/>
    </row>
    <row r="22" spans="2:13" s="242" customFormat="1" x14ac:dyDescent="0.35">
      <c r="B22" s="248" t="s">
        <v>136</v>
      </c>
      <c r="C22" s="249">
        <f>[1]!IntrinioFinancials(C$12,"calculations",0,"FY","profitmargin")</f>
        <v>0.22414200000000001</v>
      </c>
      <c r="D22" s="250" t="str">
        <f>[1]!IntrinioFinancials(D$12,"calculations",0,"FY","profitmargin")</f>
        <v/>
      </c>
      <c r="E22" s="250" t="str">
        <f>[1]!IntrinioFinancials(E$12,"calculations",0,"FY","profitmargin")</f>
        <v/>
      </c>
      <c r="F22" s="250" t="str">
        <f>[1]!IntrinioFinancials(F$12,"calculations",0,"FY","profitmargin")</f>
        <v/>
      </c>
      <c r="G22" s="250" t="str">
        <f>[1]!IntrinioFinancials(G$12,"calculations",0,"FY","profitmargin")</f>
        <v/>
      </c>
      <c r="H22" s="250" t="str">
        <f>[1]!IntrinioFinancials(H$12,"calculations",0,"FY","profitmargin")</f>
        <v/>
      </c>
      <c r="I22" s="249">
        <f t="shared" si="0"/>
        <v>0.22414200000000001</v>
      </c>
      <c r="J22" s="250">
        <f t="shared" si="1"/>
        <v>0.22414200000000001</v>
      </c>
      <c r="K22" s="243"/>
      <c r="L22" s="243"/>
      <c r="M22" s="243"/>
    </row>
    <row r="23" spans="2:13" ht="21.75" customHeight="1" x14ac:dyDescent="0.3">
      <c r="B23" s="245" t="s">
        <v>134</v>
      </c>
      <c r="C23" s="251">
        <f>[1]!IntrinioFinancials(C$12,"income_statement",0,"FY","dilutedeps")</f>
        <v>11.91</v>
      </c>
      <c r="D23" s="252" t="str">
        <f>[1]!IntrinioFinancials(D$12,"income_statement",0,"FY","dilutedeps")</f>
        <v/>
      </c>
      <c r="E23" s="252" t="str">
        <f>[1]!IntrinioFinancials(E$12,"income_statement",0,"FY","dilutedeps")</f>
        <v/>
      </c>
      <c r="F23" s="252" t="str">
        <f>[1]!IntrinioFinancials(F$12,"income_statement",0,"FY","dilutedeps")</f>
        <v/>
      </c>
      <c r="G23" s="252" t="str">
        <f>[1]!IntrinioFinancials(G$12,"income_statement",0,"FY","dilutedeps")</f>
        <v/>
      </c>
      <c r="H23" s="252" t="str">
        <f>[1]!IntrinioFinancials(H$12,"income_statement",0,"FY","dilutedeps")</f>
        <v/>
      </c>
      <c r="I23" s="251" t="s">
        <v>147</v>
      </c>
      <c r="J23" s="252" t="s">
        <v>147</v>
      </c>
      <c r="K23" s="17"/>
      <c r="L23" s="17"/>
      <c r="M23" s="17"/>
    </row>
    <row r="24" spans="2:13" s="242" customFormat="1" x14ac:dyDescent="0.35">
      <c r="B24" s="248" t="s">
        <v>88</v>
      </c>
      <c r="C24" s="249">
        <f>[1]!IntrinioFinancials(C$12,"calculations",0,"FY","epsgrowth")</f>
        <v>0.29315999999999998</v>
      </c>
      <c r="D24" s="250" t="str">
        <f>[1]!IntrinioFinancials(D$12,"calculations",0,"FY","epsgrowth")</f>
        <v/>
      </c>
      <c r="E24" s="250" t="str">
        <f>[1]!IntrinioFinancials(E$12,"calculations",0,"FY","epsgrowth")</f>
        <v/>
      </c>
      <c r="F24" s="250" t="str">
        <f>[1]!IntrinioFinancials(F$12,"calculations",0,"FY","epsgrowth")</f>
        <v/>
      </c>
      <c r="G24" s="250" t="str">
        <f>[1]!IntrinioFinancials(G$12,"calculations",0,"FY","epsgrowth")</f>
        <v/>
      </c>
      <c r="H24" s="250" t="str">
        <f>[1]!IntrinioFinancials(H$12,"calculations",0,"FY","epsgrowth")</f>
        <v/>
      </c>
      <c r="I24" s="249">
        <f t="shared" ref="I24" si="2">IFERROR(AVERAGE(C24:H24),"nm")</f>
        <v>0.29315999999999998</v>
      </c>
      <c r="J24" s="250">
        <f t="shared" ref="J24" si="3">IFERROR(MEDIAN(C24:H24),"nm")</f>
        <v>0.29315999999999998</v>
      </c>
      <c r="K24" s="243"/>
      <c r="L24" s="243"/>
      <c r="M24" s="243"/>
    </row>
    <row r="25" spans="2:13" ht="21.9" customHeight="1" x14ac:dyDescent="0.3">
      <c r="B25" s="117"/>
      <c r="C25" s="117"/>
      <c r="D25" s="117"/>
      <c r="E25" s="117"/>
      <c r="F25" s="117"/>
      <c r="G25" s="117"/>
      <c r="H25" s="117"/>
      <c r="I25" s="117"/>
      <c r="J25" s="117"/>
      <c r="K25" s="49"/>
      <c r="L25" s="49"/>
      <c r="M25" s="17"/>
    </row>
    <row r="26" spans="2:13" ht="21.9" customHeight="1" x14ac:dyDescent="0.3">
      <c r="B26" s="28" t="s">
        <v>144</v>
      </c>
      <c r="C26" s="253">
        <f>I22</f>
        <v>0.22414200000000001</v>
      </c>
      <c r="D26" s="253">
        <f t="shared" ref="D26:H27" si="4">C26</f>
        <v>0.22414200000000001</v>
      </c>
      <c r="E26" s="253">
        <f t="shared" si="4"/>
        <v>0.22414200000000001</v>
      </c>
      <c r="F26" s="253">
        <f t="shared" si="4"/>
        <v>0.22414200000000001</v>
      </c>
      <c r="G26" s="253">
        <f t="shared" si="4"/>
        <v>0.22414200000000001</v>
      </c>
      <c r="H26" s="253">
        <f t="shared" si="4"/>
        <v>0.22414200000000001</v>
      </c>
      <c r="I26" s="28"/>
      <c r="J26" s="28"/>
      <c r="K26" s="16"/>
      <c r="L26" s="17"/>
      <c r="M26" s="17"/>
    </row>
    <row r="27" spans="2:13" ht="21.9" customHeight="1" x14ac:dyDescent="0.3">
      <c r="B27" s="28" t="s">
        <v>145</v>
      </c>
      <c r="C27" s="253">
        <f>J22</f>
        <v>0.22414200000000001</v>
      </c>
      <c r="D27" s="253">
        <f t="shared" si="4"/>
        <v>0.22414200000000001</v>
      </c>
      <c r="E27" s="253">
        <f t="shared" si="4"/>
        <v>0.22414200000000001</v>
      </c>
      <c r="F27" s="253">
        <f t="shared" si="4"/>
        <v>0.22414200000000001</v>
      </c>
      <c r="G27" s="253">
        <f t="shared" si="4"/>
        <v>0.22414200000000001</v>
      </c>
      <c r="H27" s="253">
        <f t="shared" si="4"/>
        <v>0.22414200000000001</v>
      </c>
      <c r="I27" s="28"/>
      <c r="J27" s="28"/>
      <c r="K27" s="17"/>
      <c r="L27" s="17"/>
      <c r="M27" s="17"/>
    </row>
    <row r="28" spans="2:13" ht="21.9" customHeight="1" x14ac:dyDescent="0.3">
      <c r="B28" s="28" t="s">
        <v>152</v>
      </c>
      <c r="C28" s="28" t="str">
        <f>IF(ticker="","",ticker)</f>
        <v>AAPL</v>
      </c>
      <c r="D28" s="28" t="str">
        <f>IF(comp1="","",comp1)</f>
        <v/>
      </c>
      <c r="E28" s="28" t="str">
        <f>IF(comp2="","",comp2)</f>
        <v/>
      </c>
      <c r="F28" s="28" t="str">
        <f>IF(comp3="","",comp3)</f>
        <v/>
      </c>
      <c r="G28" s="28" t="str">
        <f>IF(comp4="","",comp4)</f>
        <v/>
      </c>
      <c r="H28" s="28" t="str">
        <f>IF(comp5="","",comp5)</f>
        <v/>
      </c>
      <c r="I28" s="28"/>
      <c r="J28" s="28"/>
    </row>
    <row r="29" spans="2:13" ht="23.85" customHeight="1" x14ac:dyDescent="0.3">
      <c r="B29" s="28"/>
      <c r="C29" s="28"/>
      <c r="D29" s="28"/>
      <c r="E29" s="28"/>
      <c r="F29" s="28"/>
      <c r="G29" s="28"/>
      <c r="H29" s="28"/>
      <c r="I29" s="28"/>
      <c r="J29" s="28"/>
    </row>
    <row r="30" spans="2:13" ht="15.75" customHeight="1" x14ac:dyDescent="0.3">
      <c r="C30" s="3"/>
      <c r="D30" s="3"/>
      <c r="E30" s="3"/>
      <c r="F30" s="3"/>
      <c r="G30" s="3"/>
      <c r="H30" s="3"/>
      <c r="I30" s="3"/>
      <c r="J30" s="3"/>
      <c r="K30" s="20"/>
    </row>
    <row r="31" spans="2:13" x14ac:dyDescent="0.3">
      <c r="C31" s="3"/>
      <c r="D31" s="3"/>
      <c r="E31" s="3"/>
      <c r="F31" s="3"/>
      <c r="G31" s="3"/>
      <c r="H31" s="3"/>
      <c r="I31" s="3"/>
      <c r="J31" s="3"/>
      <c r="K31" s="20"/>
    </row>
    <row r="32" spans="2:13" x14ac:dyDescent="0.3">
      <c r="C32" s="3"/>
      <c r="D32" s="3"/>
      <c r="E32" s="3"/>
      <c r="F32" s="3"/>
      <c r="G32" s="3"/>
      <c r="H32" s="3"/>
      <c r="I32" s="3"/>
      <c r="J32" s="3"/>
      <c r="K32" s="20"/>
    </row>
    <row r="33" spans="3:11" x14ac:dyDescent="0.3">
      <c r="C33" s="3"/>
      <c r="D33" s="3"/>
      <c r="E33" s="3"/>
      <c r="F33" s="3"/>
      <c r="G33" s="3"/>
      <c r="H33" s="3"/>
      <c r="I33" s="3"/>
      <c r="J33" s="3"/>
      <c r="K33" s="20"/>
    </row>
    <row r="34" spans="3:11" x14ac:dyDescent="0.3">
      <c r="C34" s="3"/>
      <c r="D34" s="3"/>
      <c r="E34" s="3"/>
      <c r="F34" s="3"/>
      <c r="G34" s="3"/>
      <c r="H34" s="3"/>
      <c r="I34" s="3"/>
      <c r="J34" s="3"/>
      <c r="K34" s="20"/>
    </row>
    <row r="35" spans="3:11" x14ac:dyDescent="0.3">
      <c r="C35" s="3"/>
      <c r="D35" s="3"/>
      <c r="E35" s="3"/>
      <c r="F35" s="3"/>
      <c r="G35" s="3"/>
      <c r="H35" s="3"/>
      <c r="I35" s="3"/>
      <c r="J35" s="3"/>
    </row>
    <row r="36" spans="3:11" x14ac:dyDescent="0.3">
      <c r="C36" s="3"/>
      <c r="D36" s="3"/>
      <c r="E36" s="3"/>
      <c r="F36" s="3"/>
      <c r="G36" s="3"/>
      <c r="H36" s="3"/>
      <c r="I36" s="3"/>
      <c r="J36" s="3"/>
      <c r="K36" s="19"/>
    </row>
    <row r="37" spans="3:11" x14ac:dyDescent="0.3">
      <c r="C37" s="3"/>
      <c r="D37" s="3"/>
      <c r="E37" s="3"/>
      <c r="F37" s="3"/>
      <c r="G37" s="3"/>
      <c r="H37" s="3"/>
      <c r="I37" s="3"/>
      <c r="J37" s="3"/>
    </row>
    <row r="38" spans="3:11" x14ac:dyDescent="0.3">
      <c r="C38" s="3"/>
      <c r="D38" s="3"/>
      <c r="E38" s="3"/>
      <c r="F38" s="3"/>
      <c r="G38" s="3"/>
      <c r="H38" s="3"/>
      <c r="I38" s="3"/>
      <c r="J38" s="3"/>
    </row>
    <row r="39" spans="3:11" x14ac:dyDescent="0.3">
      <c r="C39" s="3"/>
      <c r="D39" s="3"/>
      <c r="E39" s="3"/>
      <c r="F39" s="3"/>
      <c r="G39" s="3"/>
      <c r="H39" s="3"/>
      <c r="I39" s="3"/>
      <c r="J39" s="3"/>
    </row>
    <row r="40" spans="3:11" x14ac:dyDescent="0.3">
      <c r="C40" s="3"/>
      <c r="D40" s="3"/>
      <c r="E40" s="3"/>
      <c r="F40" s="3"/>
      <c r="G40" s="3"/>
      <c r="H40" s="3"/>
      <c r="I40" s="3"/>
      <c r="J40" s="3"/>
    </row>
    <row r="41" spans="3:11" x14ac:dyDescent="0.3">
      <c r="C41" s="3"/>
      <c r="D41" s="3"/>
      <c r="E41" s="3"/>
      <c r="F41" s="3"/>
      <c r="G41" s="3"/>
      <c r="H41" s="3"/>
      <c r="I41" s="3"/>
      <c r="J41" s="3"/>
    </row>
    <row r="42" spans="3:11" x14ac:dyDescent="0.3">
      <c r="C42" s="3"/>
      <c r="D42" s="3"/>
      <c r="E42" s="3"/>
      <c r="F42" s="3"/>
      <c r="G42" s="3"/>
      <c r="H42" s="3"/>
      <c r="I42" s="3"/>
      <c r="J42" s="3"/>
    </row>
  </sheetData>
  <conditionalFormatting sqref="K30:K32">
    <cfRule type="cellIs" dxfId="7" priority="1" operator="greaterThan">
      <formula>0</formula>
    </cfRule>
    <cfRule type="cellIs" dxfId="6" priority="2" operator="lessThan">
      <formula>0</formula>
    </cfRule>
  </conditionalFormatting>
  <pageMargins left="0.7" right="0.7" top="0.75" bottom="0.75" header="0.3" footer="0.3"/>
  <pageSetup orientation="landscape" r:id="rId1"/>
  <headerFooter>
    <oddHeader>&amp;LApple Inc (AAPL)          $116.52&amp;RReport Date: 12/26/2016</oddHeader>
    <oddFooter>&amp;L&amp;G&amp;R&amp;P</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9"/>
    <pageSetUpPr fitToPage="1"/>
  </sheetPr>
  <dimension ref="A1:M43"/>
  <sheetViews>
    <sheetView showGridLines="0" view="pageBreakPreview" zoomScale="80" zoomScaleNormal="100" zoomScaleSheetLayoutView="80" workbookViewId="0"/>
  </sheetViews>
  <sheetFormatPr defaultColWidth="9.109375" defaultRowHeight="14.4" x14ac:dyDescent="0.3"/>
  <cols>
    <col min="1" max="1" width="2.44140625" style="18" customWidth="1"/>
    <col min="2" max="2" width="40.77734375" style="18" customWidth="1"/>
    <col min="3" max="10" width="11.77734375" style="18" customWidth="1"/>
    <col min="11" max="11" width="0.88671875" style="18" customWidth="1"/>
    <col min="12" max="12" width="15.44140625" style="18" customWidth="1"/>
    <col min="13" max="13" width="14.44140625" style="18" customWidth="1"/>
    <col min="14" max="16384" width="9.109375" style="18"/>
  </cols>
  <sheetData>
    <row r="1" spans="1:13" ht="16.2" x14ac:dyDescent="0.35">
      <c r="A1" s="23" t="s">
        <v>212</v>
      </c>
    </row>
    <row r="3" spans="1:13" ht="21.9" customHeight="1" x14ac:dyDescent="0.3">
      <c r="B3" s="104"/>
      <c r="C3" s="105" t="str">
        <f>IF(ticker="","",ticker)</f>
        <v>AAPL</v>
      </c>
      <c r="D3" s="106" t="str">
        <f>IF(D29=0,"",D29)</f>
        <v/>
      </c>
      <c r="E3" s="106" t="str">
        <f>IF(E29=0,"",E29)</f>
        <v/>
      </c>
      <c r="F3" s="106" t="str">
        <f>IF(F29=0,"",F29)</f>
        <v/>
      </c>
      <c r="G3" s="106" t="str">
        <f>IF(G29=0,"",G29)</f>
        <v/>
      </c>
      <c r="H3" s="106" t="str">
        <f>IF(H29=0,"",H29)</f>
        <v/>
      </c>
      <c r="I3" s="105" t="s">
        <v>144</v>
      </c>
      <c r="J3" s="106" t="s">
        <v>145</v>
      </c>
      <c r="L3" s="1"/>
    </row>
    <row r="4" spans="1:13" ht="20.85" customHeight="1" x14ac:dyDescent="0.3">
      <c r="B4" s="271" t="str">
        <f>'ROIC Metrics'!B5</f>
        <v>ROIC Disaggregation:</v>
      </c>
      <c r="C4" s="277"/>
      <c r="D4" s="247"/>
      <c r="E4" s="247"/>
      <c r="F4" s="247"/>
      <c r="G4" s="247"/>
      <c r="H4" s="247"/>
      <c r="I4" s="300"/>
      <c r="J4" s="301"/>
      <c r="K4" s="17"/>
      <c r="L4" s="17"/>
      <c r="M4" s="17"/>
    </row>
    <row r="5" spans="1:13" s="242" customFormat="1" ht="20.85" customHeight="1" x14ac:dyDescent="0.35">
      <c r="B5" s="293" t="str">
        <f>'ROIC Metrics'!B6</f>
        <v>NOPAT Margin</v>
      </c>
      <c r="C5" s="274">
        <f>[1]!IntrinioFinancials(C$3,"calculations",0,"TTM",'ROIC Metrics'!$N6)</f>
        <v>0.218891</v>
      </c>
      <c r="D5" s="275" t="str">
        <f>[1]!IntrinioFinancials(D$3,"calculations",0,"TTM",'ROIC Metrics'!$N6)</f>
        <v/>
      </c>
      <c r="E5" s="275" t="str">
        <f>[1]!IntrinioFinancials(E$3,"calculations",0,"TTM",'ROIC Metrics'!$N6)</f>
        <v/>
      </c>
      <c r="F5" s="275" t="str">
        <f>[1]!IntrinioFinancials(F$3,"calculations",0,"TTM",'ROIC Metrics'!$N6)</f>
        <v/>
      </c>
      <c r="G5" s="275" t="str">
        <f>[1]!IntrinioFinancials(G$3,"calculations",0,"TTM",'ROIC Metrics'!$N6)</f>
        <v/>
      </c>
      <c r="H5" s="338" t="str">
        <f>[1]!IntrinioFinancials(H$3,"calculations",0,"TTM",'ROIC Metrics'!$N6)</f>
        <v/>
      </c>
      <c r="I5" s="275">
        <f t="shared" ref="I5:I7" si="0">IFERROR(AVERAGE(C5:H5),"nm")</f>
        <v>0.218891</v>
      </c>
      <c r="J5" s="275">
        <f t="shared" ref="J5:J7" si="1">IFERROR(MEDIAN(C5:H5),"nm")</f>
        <v>0.218891</v>
      </c>
      <c r="K5" s="275"/>
      <c r="L5" s="243"/>
      <c r="M5" s="243"/>
    </row>
    <row r="6" spans="1:13" ht="20.85" customHeight="1" x14ac:dyDescent="0.3">
      <c r="B6" s="292" t="str">
        <f>'ROIC Metrics'!B7</f>
        <v>x Invested Capital Turnover</v>
      </c>
      <c r="C6" s="321">
        <f>[1]!IntrinioFinancials(C$3,"calculations",0,"TTM",'ROIC Metrics'!$N7)</f>
        <v>-19.9589</v>
      </c>
      <c r="D6" s="294" t="str">
        <f>[1]!IntrinioFinancials(D$3,"calculations",0,"TTM",'ROIC Metrics'!$N7)</f>
        <v/>
      </c>
      <c r="E6" s="294" t="str">
        <f>[1]!IntrinioFinancials(E$3,"calculations",0,"TTM",'ROIC Metrics'!$N7)</f>
        <v/>
      </c>
      <c r="F6" s="294" t="str">
        <f>[1]!IntrinioFinancials(F$3,"calculations",0,"TTM",'ROIC Metrics'!$N7)</f>
        <v/>
      </c>
      <c r="G6" s="294" t="str">
        <f>[1]!IntrinioFinancials(G$3,"calculations",0,"TTM",'ROIC Metrics'!$N7)</f>
        <v/>
      </c>
      <c r="H6" s="339" t="str">
        <f>[1]!IntrinioFinancials(H$3,"calculations",0,"TTM",'ROIC Metrics'!$N7)</f>
        <v/>
      </c>
      <c r="I6" s="294">
        <f t="shared" si="0"/>
        <v>-19.9589</v>
      </c>
      <c r="J6" s="294">
        <f t="shared" si="1"/>
        <v>-19.9589</v>
      </c>
      <c r="K6" s="294"/>
      <c r="L6" s="17"/>
      <c r="M6" s="17"/>
    </row>
    <row r="7" spans="1:13" s="242" customFormat="1" ht="20.85" customHeight="1" x14ac:dyDescent="0.35">
      <c r="B7" s="320" t="str">
        <f>'ROIC Metrics'!B8</f>
        <v>= Return on Invested Capital (ROIC)</v>
      </c>
      <c r="C7" s="275" t="str">
        <f>[1]!IntrinioFinancials(C$3,"calculations",0,"TTM",'ROIC Metrics'!$N8)</f>
        <v>nm</v>
      </c>
      <c r="D7" s="275" t="str">
        <f>[1]!IntrinioFinancials(D$3,"calculations",0,"TTM",'ROIC Metrics'!$N8)</f>
        <v/>
      </c>
      <c r="E7" s="275" t="str">
        <f>[1]!IntrinioFinancials(E$3,"calculations",0,"TTM",'ROIC Metrics'!$N8)</f>
        <v/>
      </c>
      <c r="F7" s="275" t="str">
        <f>[1]!IntrinioFinancials(F$3,"calculations",0,"TTM",'ROIC Metrics'!$N8)</f>
        <v/>
      </c>
      <c r="G7" s="275" t="str">
        <f>[1]!IntrinioFinancials(G$3,"calculations",0,"TTM",'ROIC Metrics'!$N8)</f>
        <v/>
      </c>
      <c r="H7" s="338" t="str">
        <f>[1]!IntrinioFinancials(H$3,"calculations",0,"TTM",'ROIC Metrics'!$N8)</f>
        <v/>
      </c>
      <c r="I7" s="275" t="str">
        <f t="shared" si="0"/>
        <v>nm</v>
      </c>
      <c r="J7" s="275" t="str">
        <f t="shared" si="1"/>
        <v>nm</v>
      </c>
      <c r="K7" s="275"/>
      <c r="L7" s="243"/>
      <c r="M7" s="243"/>
    </row>
    <row r="8" spans="1:13" s="242" customFormat="1" ht="20.85" customHeight="1" x14ac:dyDescent="0.35">
      <c r="B8" s="336"/>
      <c r="C8" s="337"/>
      <c r="D8" s="337"/>
      <c r="E8" s="337"/>
      <c r="F8" s="337"/>
      <c r="G8" s="337"/>
      <c r="H8" s="337"/>
      <c r="I8" s="337"/>
      <c r="J8" s="337"/>
      <c r="K8" s="337"/>
      <c r="L8" s="243"/>
      <c r="M8" s="243"/>
    </row>
    <row r="9" spans="1:13" ht="20.85" customHeight="1" x14ac:dyDescent="0.3">
      <c r="B9" s="271" t="str">
        <f>'ROIC Metrics'!B10</f>
        <v>ROE Disaggregation:</v>
      </c>
      <c r="C9" s="277"/>
      <c r="D9" s="247"/>
      <c r="E9" s="247"/>
      <c r="F9" s="247"/>
      <c r="G9" s="247"/>
      <c r="H9" s="340"/>
      <c r="I9" s="247"/>
      <c r="J9" s="247"/>
      <c r="K9" s="247"/>
      <c r="L9" s="17"/>
      <c r="M9" s="17"/>
    </row>
    <row r="10" spans="1:13" s="242" customFormat="1" ht="20.85" customHeight="1" x14ac:dyDescent="0.35">
      <c r="B10" s="293" t="str">
        <f>'ROIC Metrics'!B11</f>
        <v>Net Nonoperating Expense Percent</v>
      </c>
      <c r="C10" s="274">
        <f>[1]!IntrinioFinancials(C$3,"calculations",0,"TTM",'ROIC Metrics'!$N11)</f>
        <v>1.257E-2</v>
      </c>
      <c r="D10" s="275" t="str">
        <f>[1]!IntrinioFinancials(D$3,"calculations",0,"TTM",'ROIC Metrics'!$N11)</f>
        <v/>
      </c>
      <c r="E10" s="275" t="str">
        <f>[1]!IntrinioFinancials(E$3,"calculations",0,"TTM",'ROIC Metrics'!$N11)</f>
        <v/>
      </c>
      <c r="F10" s="275" t="str">
        <f>[1]!IntrinioFinancials(F$3,"calculations",0,"TTM",'ROIC Metrics'!$N11)</f>
        <v/>
      </c>
      <c r="G10" s="275" t="str">
        <f>[1]!IntrinioFinancials(G$3,"calculations",0,"TTM",'ROIC Metrics'!$N11)</f>
        <v/>
      </c>
      <c r="H10" s="338" t="str">
        <f>[1]!IntrinioFinancials(H$3,"calculations",0,"TTM",'ROIC Metrics'!$N11)</f>
        <v/>
      </c>
      <c r="I10" s="275">
        <f t="shared" ref="I10" si="2">IFERROR(AVERAGE(C10:H10),"nm")</f>
        <v>1.257E-2</v>
      </c>
      <c r="J10" s="275">
        <f t="shared" ref="J10" si="3">IFERROR(MEDIAN(C10:H10),"nm")</f>
        <v>1.257E-2</v>
      </c>
      <c r="K10" s="275"/>
      <c r="L10" s="243"/>
      <c r="M10" s="243"/>
    </row>
    <row r="11" spans="1:13" ht="20.85" customHeight="1" x14ac:dyDescent="0.3">
      <c r="B11" s="292" t="str">
        <f>'ROIC Metrics'!B12</f>
        <v>ROIC-NNEP Spread</v>
      </c>
      <c r="C11" s="326" t="str">
        <f>[1]!IntrinioFinancials(C$3,"calculations",0,"TTM",'ROIC Metrics'!$N12)</f>
        <v>nm</v>
      </c>
      <c r="D11" s="327" t="str">
        <f>[1]!IntrinioFinancials(D$3,"calculations",0,"TTM",'ROIC Metrics'!$N12)</f>
        <v/>
      </c>
      <c r="E11" s="327" t="str">
        <f>[1]!IntrinioFinancials(E$3,"calculations",0,"TTM",'ROIC Metrics'!$N12)</f>
        <v/>
      </c>
      <c r="F11" s="327" t="str">
        <f>[1]!IntrinioFinancials(F$3,"calculations",0,"TTM",'ROIC Metrics'!$N12)</f>
        <v/>
      </c>
      <c r="G11" s="327" t="str">
        <f>[1]!IntrinioFinancials(G$3,"calculations",0,"TTM",'ROIC Metrics'!$N12)</f>
        <v/>
      </c>
      <c r="H11" s="341" t="str">
        <f>[1]!IntrinioFinancials(H$3,"calculations",0,"TTM",'ROIC Metrics'!$N12)</f>
        <v/>
      </c>
      <c r="I11" s="327" t="str">
        <f>IFERROR(AVERAGE(C11:H11),"nm")</f>
        <v>nm</v>
      </c>
      <c r="J11" s="327" t="str">
        <f>IFERROR(MEDIAN(C11:H11),"nm")</f>
        <v>nm</v>
      </c>
      <c r="K11" s="327"/>
      <c r="L11" s="17"/>
      <c r="M11" s="17"/>
    </row>
    <row r="12" spans="1:13" s="242" customFormat="1" ht="20.85" customHeight="1" x14ac:dyDescent="0.35">
      <c r="B12" s="293" t="str">
        <f>'ROIC Metrics'!B13</f>
        <v>x Financial Leverage</v>
      </c>
      <c r="C12" s="330">
        <f>[1]!IntrinioFinancials(C$3,"calculations",0,"TTM",'ROIC Metrics'!$N13)</f>
        <v>-1.1093</v>
      </c>
      <c r="D12" s="331" t="str">
        <f>[1]!IntrinioFinancials(D$3,"calculations",0,"TTM",'ROIC Metrics'!$N13)</f>
        <v/>
      </c>
      <c r="E12" s="331" t="str">
        <f>[1]!IntrinioFinancials(E$3,"calculations",0,"TTM",'ROIC Metrics'!$N13)</f>
        <v/>
      </c>
      <c r="F12" s="331" t="str">
        <f>[1]!IntrinioFinancials(F$3,"calculations",0,"TTM",'ROIC Metrics'!$N13)</f>
        <v/>
      </c>
      <c r="G12" s="331" t="str">
        <f>[1]!IntrinioFinancials(G$3,"calculations",0,"TTM",'ROIC Metrics'!$N13)</f>
        <v/>
      </c>
      <c r="H12" s="342" t="str">
        <f>[1]!IntrinioFinancials(H$3,"calculations",0,"TTM",'ROIC Metrics'!$N13)</f>
        <v/>
      </c>
      <c r="I12" s="331">
        <f t="shared" ref="I12:I14" si="4">IFERROR(AVERAGE(C12:H12),"nm")</f>
        <v>-1.1093</v>
      </c>
      <c r="J12" s="331">
        <f t="shared" ref="J12:J14" si="5">IFERROR(MEDIAN(C12:H12),"nm")</f>
        <v>-1.1093</v>
      </c>
      <c r="K12" s="331"/>
      <c r="L12" s="243"/>
      <c r="M12" s="243"/>
    </row>
    <row r="13" spans="1:13" ht="20.85" customHeight="1" x14ac:dyDescent="0.3">
      <c r="B13" s="333" t="str">
        <f>'ROIC Metrics'!B14</f>
        <v>= Return on Net Nonoperating Assets (RNNOA)</v>
      </c>
      <c r="C13" s="326" t="str">
        <f>[1]!IntrinioFinancials(C$3,"calculations",0,"TTM",'ROIC Metrics'!$N14)</f>
        <v>nm</v>
      </c>
      <c r="D13" s="327" t="str">
        <f>[1]!IntrinioFinancials(D$3,"calculations",0,"TTM",'ROIC Metrics'!$N14)</f>
        <v/>
      </c>
      <c r="E13" s="327" t="str">
        <f>[1]!IntrinioFinancials(E$3,"calculations",0,"TTM",'ROIC Metrics'!$N14)</f>
        <v/>
      </c>
      <c r="F13" s="327" t="str">
        <f>[1]!IntrinioFinancials(F$3,"calculations",0,"TTM",'ROIC Metrics'!$N14)</f>
        <v/>
      </c>
      <c r="G13" s="327" t="str">
        <f>[1]!IntrinioFinancials(G$3,"calculations",0,"TTM",'ROIC Metrics'!$N14)</f>
        <v/>
      </c>
      <c r="H13" s="341" t="str">
        <f>[1]!IntrinioFinancials(H$3,"calculations",0,"TTM",'ROIC Metrics'!$N14)</f>
        <v/>
      </c>
      <c r="I13" s="327" t="str">
        <f t="shared" si="4"/>
        <v>nm</v>
      </c>
      <c r="J13" s="327" t="str">
        <f t="shared" si="5"/>
        <v>nm</v>
      </c>
      <c r="K13" s="327"/>
      <c r="L13" s="17"/>
      <c r="M13" s="17"/>
    </row>
    <row r="14" spans="1:13" s="242" customFormat="1" ht="20.85" customHeight="1" x14ac:dyDescent="0.35">
      <c r="B14" s="320" t="str">
        <f>'ROIC Metrics'!B15</f>
        <v>Return on Equity (ROE) = ROIC + RNNOA</v>
      </c>
      <c r="C14" s="275">
        <f>[1]!IntrinioFinancials(C$3,"calculations",0,"TTM",'ROIC Metrics'!$N15)</f>
        <v>0.491282</v>
      </c>
      <c r="D14" s="275" t="str">
        <f>[1]!IntrinioFinancials(D$3,"calculations",0,"TTM",'ROIC Metrics'!$N15)</f>
        <v/>
      </c>
      <c r="E14" s="275" t="str">
        <f>[1]!IntrinioFinancials(E$3,"calculations",0,"TTM",'ROIC Metrics'!$N15)</f>
        <v/>
      </c>
      <c r="F14" s="275" t="str">
        <f>[1]!IntrinioFinancials(F$3,"calculations",0,"TTM",'ROIC Metrics'!$N15)</f>
        <v/>
      </c>
      <c r="G14" s="275" t="str">
        <f>[1]!IntrinioFinancials(G$3,"calculations",0,"TTM",'ROIC Metrics'!$N15)</f>
        <v/>
      </c>
      <c r="H14" s="338" t="str">
        <f>[1]!IntrinioFinancials(H$3,"calculations",0,"TTM",'ROIC Metrics'!$N15)</f>
        <v/>
      </c>
      <c r="I14" s="275">
        <f t="shared" si="4"/>
        <v>0.491282</v>
      </c>
      <c r="J14" s="275">
        <f t="shared" si="5"/>
        <v>0.491282</v>
      </c>
      <c r="K14" s="275"/>
      <c r="L14" s="243"/>
      <c r="M14" s="243"/>
    </row>
    <row r="15" spans="1:13" ht="21.9" customHeight="1" x14ac:dyDescent="0.3">
      <c r="B15" s="117"/>
      <c r="C15" s="117"/>
      <c r="D15" s="117"/>
      <c r="E15" s="117"/>
      <c r="F15" s="117"/>
      <c r="G15" s="117"/>
      <c r="H15" s="117"/>
      <c r="I15" s="117"/>
      <c r="J15" s="117"/>
      <c r="K15" s="49"/>
      <c r="L15" s="49"/>
      <c r="M15" s="17"/>
    </row>
    <row r="16" spans="1:13" ht="21.9" customHeight="1" x14ac:dyDescent="0.3">
      <c r="B16" s="117"/>
      <c r="C16" s="117"/>
      <c r="D16" s="117"/>
      <c r="E16" s="117"/>
      <c r="F16" s="117"/>
      <c r="G16" s="117"/>
      <c r="H16" s="117"/>
      <c r="I16" s="117"/>
      <c r="J16" s="117"/>
      <c r="K16" s="17"/>
      <c r="L16" s="17"/>
      <c r="M16" s="17"/>
    </row>
    <row r="17" spans="2:13" ht="21.9" customHeight="1" x14ac:dyDescent="0.3">
      <c r="B17" s="117"/>
      <c r="C17" s="117"/>
      <c r="D17" s="117"/>
      <c r="E17" s="117"/>
      <c r="F17" s="117"/>
      <c r="G17" s="117"/>
      <c r="H17" s="117"/>
      <c r="I17" s="117"/>
      <c r="J17" s="117"/>
      <c r="K17" s="17"/>
      <c r="L17" s="17"/>
      <c r="M17" s="17"/>
    </row>
    <row r="18" spans="2:13" ht="21.9" customHeight="1" x14ac:dyDescent="0.3">
      <c r="B18" s="117"/>
      <c r="C18" s="117"/>
      <c r="D18" s="117"/>
      <c r="E18" s="117"/>
      <c r="F18" s="117"/>
      <c r="G18" s="117"/>
      <c r="H18" s="117"/>
      <c r="I18" s="117"/>
      <c r="J18" s="117"/>
      <c r="K18" s="17"/>
      <c r="L18" s="17"/>
      <c r="M18" s="17"/>
    </row>
    <row r="19" spans="2:13" ht="21.9" customHeight="1" x14ac:dyDescent="0.3">
      <c r="B19" s="117"/>
      <c r="C19" s="117"/>
      <c r="D19" s="117"/>
      <c r="E19" s="117"/>
      <c r="F19" s="117"/>
      <c r="G19" s="117"/>
      <c r="H19" s="117"/>
      <c r="I19" s="117"/>
      <c r="J19" s="117"/>
      <c r="K19" s="17"/>
      <c r="L19" s="17"/>
      <c r="M19" s="17"/>
    </row>
    <row r="20" spans="2:13" ht="21.9" customHeight="1" x14ac:dyDescent="0.3">
      <c r="B20" s="117"/>
      <c r="C20" s="117"/>
      <c r="D20" s="117"/>
      <c r="E20" s="117"/>
      <c r="F20" s="117"/>
      <c r="G20" s="117"/>
      <c r="H20" s="117"/>
      <c r="I20" s="117"/>
      <c r="J20" s="117"/>
      <c r="K20" s="17"/>
      <c r="L20" s="17"/>
      <c r="M20" s="17"/>
    </row>
    <row r="21" spans="2:13" ht="21.9" customHeight="1" x14ac:dyDescent="0.3">
      <c r="B21" s="117"/>
      <c r="C21" s="117"/>
      <c r="D21" s="117"/>
      <c r="E21" s="117"/>
      <c r="F21" s="117"/>
      <c r="G21" s="117"/>
      <c r="H21" s="117"/>
      <c r="I21" s="117"/>
      <c r="J21" s="117"/>
      <c r="K21" s="17"/>
      <c r="L21" s="17"/>
      <c r="M21" s="17"/>
    </row>
    <row r="22" spans="2:13" ht="21.9" customHeight="1" x14ac:dyDescent="0.3">
      <c r="B22" s="117"/>
      <c r="C22" s="117"/>
      <c r="D22" s="117"/>
      <c r="E22" s="117"/>
      <c r="F22" s="117"/>
      <c r="G22" s="117"/>
      <c r="H22" s="117"/>
      <c r="I22" s="117"/>
      <c r="J22" s="117"/>
      <c r="K22" s="17"/>
      <c r="L22" s="17"/>
      <c r="M22" s="17"/>
    </row>
    <row r="23" spans="2:13" ht="21.9" customHeight="1" x14ac:dyDescent="0.3">
      <c r="B23" s="117"/>
      <c r="C23" s="117"/>
      <c r="D23" s="117"/>
      <c r="E23" s="117"/>
      <c r="F23" s="117"/>
      <c r="G23" s="117"/>
      <c r="H23" s="117"/>
      <c r="I23" s="117"/>
      <c r="J23" s="117"/>
      <c r="K23" s="17"/>
      <c r="L23" s="17"/>
      <c r="M23" s="17"/>
    </row>
    <row r="24" spans="2:13" ht="21.9" customHeight="1" x14ac:dyDescent="0.3">
      <c r="B24" s="117"/>
      <c r="C24" s="117"/>
      <c r="D24" s="117"/>
      <c r="E24" s="117"/>
      <c r="F24" s="117"/>
      <c r="G24" s="117"/>
      <c r="H24" s="117"/>
      <c r="I24" s="117"/>
      <c r="J24" s="117"/>
      <c r="K24" s="17"/>
      <c r="L24" s="17"/>
      <c r="M24" s="17"/>
    </row>
    <row r="25" spans="2:13" ht="21.9" customHeight="1" x14ac:dyDescent="0.3">
      <c r="B25" s="117"/>
      <c r="C25" s="117"/>
      <c r="D25" s="117"/>
      <c r="E25" s="117"/>
      <c r="F25" s="117"/>
      <c r="G25" s="117"/>
      <c r="H25" s="117"/>
      <c r="I25" s="117"/>
      <c r="J25" s="117"/>
      <c r="K25" s="17"/>
      <c r="L25" s="17"/>
      <c r="M25" s="17"/>
    </row>
    <row r="26" spans="2:13" ht="21.9" customHeight="1" x14ac:dyDescent="0.3">
      <c r="B26" s="117"/>
      <c r="C26" s="117"/>
      <c r="D26" s="117"/>
      <c r="E26" s="117"/>
      <c r="F26" s="117"/>
      <c r="G26" s="117"/>
      <c r="H26" s="117"/>
      <c r="I26" s="117"/>
      <c r="J26" s="117"/>
      <c r="K26" s="17"/>
      <c r="L26" s="17"/>
      <c r="M26" s="17"/>
    </row>
    <row r="27" spans="2:13" ht="21.9" customHeight="1" x14ac:dyDescent="0.3">
      <c r="B27" s="28"/>
      <c r="C27" s="253"/>
      <c r="D27" s="253"/>
      <c r="E27" s="253"/>
      <c r="F27" s="253"/>
      <c r="G27" s="253"/>
      <c r="H27" s="253"/>
      <c r="I27" s="28"/>
      <c r="J27" s="28"/>
      <c r="K27" s="16"/>
      <c r="L27" s="17"/>
      <c r="M27" s="17"/>
    </row>
    <row r="28" spans="2:13" ht="21.9" customHeight="1" x14ac:dyDescent="0.3">
      <c r="B28" s="28"/>
      <c r="C28" s="253"/>
      <c r="D28" s="253"/>
      <c r="E28" s="253"/>
      <c r="F28" s="253"/>
      <c r="G28" s="253"/>
      <c r="H28" s="253"/>
      <c r="I28" s="28"/>
      <c r="J28" s="28"/>
      <c r="K28" s="17"/>
      <c r="L28" s="17"/>
      <c r="M28" s="17"/>
    </row>
    <row r="29" spans="2:13" ht="21.9" customHeight="1" x14ac:dyDescent="0.3">
      <c r="B29" s="28" t="s">
        <v>152</v>
      </c>
      <c r="C29" s="28" t="str">
        <f>IF(ticker="","",ticker)</f>
        <v>AAPL</v>
      </c>
      <c r="D29" s="28" t="str">
        <f>IF(comp1="","",comp1)</f>
        <v/>
      </c>
      <c r="E29" s="28" t="str">
        <f>IF(comp2="","",comp2)</f>
        <v/>
      </c>
      <c r="F29" s="28" t="str">
        <f>IF(comp3="","",comp3)</f>
        <v/>
      </c>
      <c r="G29" s="28" t="str">
        <f>IF(comp4="","",comp4)</f>
        <v/>
      </c>
      <c r="H29" s="28" t="str">
        <f>IF(comp5="","",comp5)</f>
        <v/>
      </c>
      <c r="I29" s="28"/>
      <c r="J29" s="28"/>
    </row>
    <row r="30" spans="2:13" ht="23.85" customHeight="1" x14ac:dyDescent="0.3">
      <c r="B30" s="28"/>
      <c r="C30" s="28"/>
      <c r="D30" s="28"/>
      <c r="E30" s="28"/>
      <c r="F30" s="28"/>
      <c r="G30" s="28"/>
      <c r="H30" s="28"/>
      <c r="I30" s="28"/>
      <c r="J30" s="28"/>
    </row>
    <row r="31" spans="2:13" ht="15.75" customHeight="1" x14ac:dyDescent="0.3">
      <c r="C31" s="3"/>
      <c r="D31" s="3"/>
      <c r="E31" s="3"/>
      <c r="F31" s="3"/>
      <c r="G31" s="3"/>
      <c r="H31" s="3"/>
      <c r="I31" s="3"/>
      <c r="J31" s="3"/>
      <c r="K31" s="20"/>
    </row>
    <row r="32" spans="2:13" x14ac:dyDescent="0.3">
      <c r="C32" s="3"/>
      <c r="D32" s="3"/>
      <c r="E32" s="3"/>
      <c r="F32" s="3"/>
      <c r="G32" s="3"/>
      <c r="H32" s="3"/>
      <c r="I32" s="3"/>
      <c r="J32" s="3"/>
      <c r="K32" s="20"/>
    </row>
    <row r="33" spans="3:11" x14ac:dyDescent="0.3">
      <c r="C33" s="3"/>
      <c r="D33" s="3"/>
      <c r="E33" s="3"/>
      <c r="F33" s="3"/>
      <c r="G33" s="3"/>
      <c r="H33" s="3"/>
      <c r="I33" s="3"/>
      <c r="J33" s="3"/>
      <c r="K33" s="20"/>
    </row>
    <row r="34" spans="3:11" x14ac:dyDescent="0.3">
      <c r="C34" s="3"/>
      <c r="D34" s="3"/>
      <c r="E34" s="3"/>
      <c r="F34" s="3"/>
      <c r="G34" s="3"/>
      <c r="H34" s="3"/>
      <c r="I34" s="3"/>
      <c r="J34" s="3"/>
      <c r="K34" s="20"/>
    </row>
    <row r="35" spans="3:11" x14ac:dyDescent="0.3">
      <c r="C35" s="3"/>
      <c r="D35" s="3"/>
      <c r="E35" s="3"/>
      <c r="F35" s="3"/>
      <c r="G35" s="3"/>
      <c r="H35" s="3"/>
      <c r="I35" s="3"/>
      <c r="J35" s="3"/>
      <c r="K35" s="20"/>
    </row>
    <row r="36" spans="3:11" x14ac:dyDescent="0.3">
      <c r="C36" s="3"/>
      <c r="D36" s="3"/>
      <c r="E36" s="3"/>
      <c r="F36" s="3"/>
      <c r="G36" s="3"/>
      <c r="H36" s="3"/>
      <c r="I36" s="3"/>
      <c r="J36" s="3"/>
    </row>
    <row r="37" spans="3:11" x14ac:dyDescent="0.3">
      <c r="C37" s="3"/>
      <c r="D37" s="3"/>
      <c r="E37" s="3"/>
      <c r="F37" s="3"/>
      <c r="G37" s="3"/>
      <c r="H37" s="3"/>
      <c r="I37" s="3"/>
      <c r="J37" s="3"/>
      <c r="K37" s="19"/>
    </row>
    <row r="38" spans="3:11" x14ac:dyDescent="0.3">
      <c r="C38" s="3"/>
      <c r="D38" s="3"/>
      <c r="E38" s="3"/>
      <c r="F38" s="3"/>
      <c r="G38" s="3"/>
      <c r="H38" s="3"/>
      <c r="I38" s="3"/>
      <c r="J38" s="3"/>
    </row>
    <row r="39" spans="3:11" x14ac:dyDescent="0.3">
      <c r="C39" s="3"/>
      <c r="D39" s="3"/>
      <c r="E39" s="3"/>
      <c r="F39" s="3"/>
      <c r="G39" s="3"/>
      <c r="H39" s="3"/>
      <c r="I39" s="3"/>
      <c r="J39" s="3"/>
    </row>
    <row r="40" spans="3:11" x14ac:dyDescent="0.3">
      <c r="C40" s="3"/>
      <c r="D40" s="3"/>
      <c r="E40" s="3"/>
      <c r="F40" s="3"/>
      <c r="G40" s="3"/>
      <c r="H40" s="3"/>
      <c r="I40" s="3"/>
      <c r="J40" s="3"/>
    </row>
    <row r="41" spans="3:11" x14ac:dyDescent="0.3">
      <c r="C41" s="3"/>
      <c r="D41" s="3"/>
      <c r="E41" s="3"/>
      <c r="F41" s="3"/>
      <c r="G41" s="3"/>
      <c r="H41" s="3"/>
      <c r="I41" s="3"/>
      <c r="J41" s="3"/>
    </row>
    <row r="42" spans="3:11" x14ac:dyDescent="0.3">
      <c r="C42" s="3"/>
      <c r="D42" s="3"/>
      <c r="E42" s="3"/>
      <c r="F42" s="3"/>
      <c r="G42" s="3"/>
      <c r="H42" s="3"/>
      <c r="I42" s="3"/>
      <c r="J42" s="3"/>
    </row>
    <row r="43" spans="3:11" x14ac:dyDescent="0.3">
      <c r="C43" s="3"/>
      <c r="D43" s="3"/>
      <c r="E43" s="3"/>
      <c r="F43" s="3"/>
      <c r="G43" s="3"/>
      <c r="H43" s="3"/>
      <c r="I43" s="3"/>
      <c r="J43" s="3"/>
    </row>
  </sheetData>
  <conditionalFormatting sqref="K31:K33">
    <cfRule type="cellIs" dxfId="5" priority="1" operator="greaterThan">
      <formula>0</formula>
    </cfRule>
    <cfRule type="cellIs" dxfId="4" priority="2" operator="lessThan">
      <formula>0</formula>
    </cfRule>
  </conditionalFormatting>
  <pageMargins left="0.7" right="0.7" top="0.75" bottom="0.75" header="0.3" footer="0.3"/>
  <pageSetup scale="86" orientation="landscape" r:id="rId1"/>
  <headerFooter>
    <oddHeader>&amp;LApple Inc (AAPL)          $116.52&amp;RReport Date: 12/26/2016</oddHeader>
    <oddFooter>&amp;L&amp;G&amp;R&amp;P</oddFooter>
  </headerFooter>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theme="9"/>
    <pageSetUpPr fitToPage="1"/>
  </sheetPr>
  <dimension ref="A1:M44"/>
  <sheetViews>
    <sheetView showGridLines="0" view="pageBreakPreview" zoomScale="80" zoomScaleNormal="100" zoomScaleSheetLayoutView="80" workbookViewId="0"/>
  </sheetViews>
  <sheetFormatPr defaultColWidth="9.109375" defaultRowHeight="14.4" x14ac:dyDescent="0.3"/>
  <cols>
    <col min="1" max="1" width="2.44140625" style="18" customWidth="1"/>
    <col min="2" max="2" width="40.77734375" style="18" customWidth="1"/>
    <col min="3" max="10" width="11.77734375" style="18" customWidth="1"/>
    <col min="11" max="11" width="0.88671875" style="18" customWidth="1"/>
    <col min="12" max="12" width="15.44140625" style="18" customWidth="1"/>
    <col min="13" max="13" width="14.44140625" style="18" customWidth="1"/>
    <col min="14" max="16384" width="9.109375" style="18"/>
  </cols>
  <sheetData>
    <row r="1" spans="1:13" ht="16.2" x14ac:dyDescent="0.35">
      <c r="A1" s="23" t="s">
        <v>211</v>
      </c>
    </row>
    <row r="3" spans="1:13" ht="21.9" customHeight="1" x14ac:dyDescent="0.3">
      <c r="B3" s="104"/>
      <c r="C3" s="105" t="str">
        <f>IF(ticker="","",ticker)</f>
        <v>AAPL</v>
      </c>
      <c r="D3" s="106" t="str">
        <f>IF(D30=0,"",D30)</f>
        <v/>
      </c>
      <c r="E3" s="106" t="str">
        <f>IF(E30=0,"",E30)</f>
        <v/>
      </c>
      <c r="F3" s="106" t="str">
        <f>IF(F30=0,"",F30)</f>
        <v/>
      </c>
      <c r="G3" s="106" t="str">
        <f>IF(G30=0,"",G30)</f>
        <v/>
      </c>
      <c r="H3" s="106" t="str">
        <f>IF(H30=0,"",H30)</f>
        <v/>
      </c>
      <c r="I3" s="105" t="s">
        <v>144</v>
      </c>
      <c r="J3" s="106" t="s">
        <v>145</v>
      </c>
      <c r="L3" s="1"/>
    </row>
    <row r="4" spans="1:13" ht="20.85" customHeight="1" x14ac:dyDescent="0.3">
      <c r="B4" s="271" t="str">
        <f>'NWC Metrics'!B5</f>
        <v>Cash Conversion Cycle:</v>
      </c>
      <c r="C4" s="246"/>
      <c r="D4" s="354"/>
      <c r="E4" s="354"/>
      <c r="F4" s="354"/>
      <c r="G4" s="354"/>
      <c r="H4" s="355"/>
      <c r="I4" s="300"/>
      <c r="J4" s="356"/>
      <c r="K4" s="17"/>
      <c r="L4" s="17"/>
      <c r="M4" s="17"/>
    </row>
    <row r="5" spans="1:13" s="242" customFormat="1" ht="20.85" customHeight="1" x14ac:dyDescent="0.35">
      <c r="B5" s="293" t="str">
        <f>'NWC Metrics'!B6</f>
        <v>Days Sales Outstanding (DSO)</v>
      </c>
      <c r="C5" s="347">
        <f>[1]!IntrinioFinancials(C$3,"calculations",0,"TTM",'NWC Metrics'!$N6)</f>
        <v>21.149799999999999</v>
      </c>
      <c r="D5" s="348" t="str">
        <f>[1]!IntrinioFinancials(D$3,"calculations",0,"TTM",'NWC Metrics'!$N6)</f>
        <v/>
      </c>
      <c r="E5" s="348" t="str">
        <f>[1]!IntrinioFinancials(E$3,"calculations",0,"TTM",'NWC Metrics'!$N6)</f>
        <v/>
      </c>
      <c r="F5" s="348" t="str">
        <f>[1]!IntrinioFinancials(F$3,"calculations",0,"TTM",'NWC Metrics'!$N6)</f>
        <v/>
      </c>
      <c r="G5" s="348" t="str">
        <f>[1]!IntrinioFinancials(G$3,"calculations",0,"TTM",'NWC Metrics'!$N6)</f>
        <v/>
      </c>
      <c r="H5" s="349" t="str">
        <f>[1]!IntrinioFinancials(H$3,"calculations",0,"TTM",'NWC Metrics'!$N6)</f>
        <v/>
      </c>
      <c r="I5" s="357">
        <f t="shared" ref="I5:I8" si="0">IFERROR(AVERAGE(C5:H5),"nm")</f>
        <v>21.149799999999999</v>
      </c>
      <c r="J5" s="358">
        <f t="shared" ref="J5:J8" si="1">IFERROR(MEDIAN(C5:H5),"nm")</f>
        <v>21.149799999999999</v>
      </c>
      <c r="K5" s="275"/>
      <c r="L5" s="243"/>
      <c r="M5" s="243"/>
    </row>
    <row r="6" spans="1:13" ht="20.85" customHeight="1" x14ac:dyDescent="0.3">
      <c r="B6" s="292" t="str">
        <f>'NWC Metrics'!B7</f>
        <v>+ Days Inventory Outstanding (DIO)</v>
      </c>
      <c r="C6" s="343">
        <f>[1]!IntrinioFinancials(C$3,"calculations",0,"TTM",'NWC Metrics'!$N7)</f>
        <v>14.732799999999999</v>
      </c>
      <c r="D6" s="344" t="str">
        <f>[1]!IntrinioFinancials(D$3,"calculations",0,"TTM",'NWC Metrics'!$N7)</f>
        <v/>
      </c>
      <c r="E6" s="344" t="str">
        <f>[1]!IntrinioFinancials(E$3,"calculations",0,"TTM",'NWC Metrics'!$N7)</f>
        <v/>
      </c>
      <c r="F6" s="344" t="str">
        <f>[1]!IntrinioFinancials(F$3,"calculations",0,"TTM",'NWC Metrics'!$N7)</f>
        <v/>
      </c>
      <c r="G6" s="344" t="str">
        <f>[1]!IntrinioFinancials(G$3,"calculations",0,"TTM",'NWC Metrics'!$N7)</f>
        <v/>
      </c>
      <c r="H6" s="345" t="str">
        <f>[1]!IntrinioFinancials(H$3,"calculations",0,"TTM",'NWC Metrics'!$N7)</f>
        <v/>
      </c>
      <c r="I6" s="359">
        <f t="shared" si="0"/>
        <v>14.732799999999999</v>
      </c>
      <c r="J6" s="360">
        <f t="shared" si="1"/>
        <v>14.732799999999999</v>
      </c>
      <c r="K6" s="294"/>
      <c r="L6" s="17"/>
      <c r="M6" s="17"/>
    </row>
    <row r="7" spans="1:13" s="242" customFormat="1" ht="20.85" customHeight="1" x14ac:dyDescent="0.35">
      <c r="B7" s="320" t="str">
        <f>'NWC Metrics'!B8</f>
        <v>- Days Payable Outstanding (DPO)</v>
      </c>
      <c r="C7" s="347">
        <f>IFERROR(-[1]!IntrinioFinancials(C$3,"calculations",0,"TTM",'NWC Metrics'!$N8),"")</f>
        <v>-76.040999999999997</v>
      </c>
      <c r="D7" s="348" t="str">
        <f>IFERROR(-[1]!IntrinioFinancials(D$3,"calculations",0,"TTM",'NWC Metrics'!$N8),"")</f>
        <v/>
      </c>
      <c r="E7" s="348" t="str">
        <f>IFERROR(-[1]!IntrinioFinancials(E$3,"calculations",0,"TTM",'NWC Metrics'!$N8),"")</f>
        <v/>
      </c>
      <c r="F7" s="348" t="str">
        <f>IFERROR(-[1]!IntrinioFinancials(F$3,"calculations",0,"TTM",'NWC Metrics'!$N8),"")</f>
        <v/>
      </c>
      <c r="G7" s="348" t="str">
        <f>IFERROR(-[1]!IntrinioFinancials(G$3,"calculations",0,"TTM",'NWC Metrics'!$N8),"")</f>
        <v/>
      </c>
      <c r="H7" s="349" t="str">
        <f>IFERROR(-[1]!IntrinioFinancials(H$3,"calculations",0,"TTM",'NWC Metrics'!$N8),"")</f>
        <v/>
      </c>
      <c r="I7" s="357">
        <f t="shared" si="0"/>
        <v>-76.040999999999997</v>
      </c>
      <c r="J7" s="358">
        <f t="shared" si="1"/>
        <v>-76.040999999999997</v>
      </c>
      <c r="K7" s="275"/>
      <c r="L7" s="243"/>
      <c r="M7" s="243"/>
    </row>
    <row r="8" spans="1:13" ht="20.85" customHeight="1" x14ac:dyDescent="0.3">
      <c r="B8" s="292" t="str">
        <f>'NWC Metrics'!B9</f>
        <v>= Cash Conversion Cycle (CCC)</v>
      </c>
      <c r="C8" s="343">
        <f>[1]!IntrinioFinancials(C$3,"calculations",0,"TTM",'NWC Metrics'!$N9)</f>
        <v>-40.158299999999997</v>
      </c>
      <c r="D8" s="344" t="str">
        <f>[1]!IntrinioFinancials(D$3,"calculations",0,"TTM",'NWC Metrics'!$N9)</f>
        <v/>
      </c>
      <c r="E8" s="344" t="str">
        <f>[1]!IntrinioFinancials(E$3,"calculations",0,"TTM",'NWC Metrics'!$N9)</f>
        <v/>
      </c>
      <c r="F8" s="344" t="str">
        <f>[1]!IntrinioFinancials(F$3,"calculations",0,"TTM",'NWC Metrics'!$N9)</f>
        <v/>
      </c>
      <c r="G8" s="344" t="str">
        <f>[1]!IntrinioFinancials(G$3,"calculations",0,"TTM",'NWC Metrics'!$N9)</f>
        <v/>
      </c>
      <c r="H8" s="345" t="str">
        <f>[1]!IntrinioFinancials(H$3,"calculations",0,"TTM",'NWC Metrics'!$N9)</f>
        <v/>
      </c>
      <c r="I8" s="369">
        <f t="shared" si="0"/>
        <v>-40.158299999999997</v>
      </c>
      <c r="J8" s="370">
        <f t="shared" si="1"/>
        <v>-40.158299999999997</v>
      </c>
      <c r="K8" s="294"/>
      <c r="L8" s="17"/>
      <c r="M8" s="17"/>
    </row>
    <row r="9" spans="1:13" s="242" customFormat="1" ht="20.85" customHeight="1" x14ac:dyDescent="0.35">
      <c r="B9" s="336"/>
      <c r="C9" s="362"/>
      <c r="D9" s="362"/>
      <c r="E9" s="362"/>
      <c r="F9" s="362"/>
      <c r="G9" s="362"/>
      <c r="H9" s="362"/>
      <c r="I9" s="362"/>
      <c r="J9" s="362"/>
      <c r="K9" s="337"/>
      <c r="L9" s="243"/>
      <c r="M9" s="243"/>
    </row>
    <row r="10" spans="1:13" ht="20.85" customHeight="1" x14ac:dyDescent="0.3">
      <c r="B10" s="271" t="str">
        <f>'NWC Metrics'!B11</f>
        <v>Liquidity:</v>
      </c>
      <c r="C10" s="277"/>
      <c r="D10" s="247"/>
      <c r="E10" s="247"/>
      <c r="F10" s="247"/>
      <c r="G10" s="247"/>
      <c r="H10" s="278"/>
      <c r="I10" s="371"/>
      <c r="J10" s="372"/>
      <c r="K10" s="247"/>
      <c r="L10" s="17"/>
      <c r="M10" s="17"/>
    </row>
    <row r="11" spans="1:13" s="242" customFormat="1" ht="20.85" customHeight="1" x14ac:dyDescent="0.35">
      <c r="B11" s="293" t="str">
        <f>'NWC Metrics'!B12</f>
        <v>Current Ratio</v>
      </c>
      <c r="C11" s="347">
        <f>[1]!IntrinioFinancials(C$3,"calculations",0,"TTM",'NWC Metrics'!$N12)</f>
        <v>1.3153999999999999</v>
      </c>
      <c r="D11" s="348" t="str">
        <f>[1]!IntrinioFinancials(D$3,"calculations",0,"TTM",'NWC Metrics'!$N12)</f>
        <v/>
      </c>
      <c r="E11" s="348" t="str">
        <f>[1]!IntrinioFinancials(E$3,"calculations",0,"TTM",'NWC Metrics'!$N12)</f>
        <v/>
      </c>
      <c r="F11" s="348" t="str">
        <f>[1]!IntrinioFinancials(F$3,"calculations",0,"TTM",'NWC Metrics'!$N12)</f>
        <v/>
      </c>
      <c r="G11" s="348" t="str">
        <f>[1]!IntrinioFinancials(G$3,"calculations",0,"TTM",'NWC Metrics'!$N12)</f>
        <v/>
      </c>
      <c r="H11" s="349" t="str">
        <f>[1]!IntrinioFinancials(H$3,"calculations",0,"TTM",'NWC Metrics'!$N12)</f>
        <v/>
      </c>
      <c r="I11" s="357">
        <f t="shared" ref="I11:I15" si="2">IFERROR(AVERAGE(C11:H11),"nm")</f>
        <v>1.3153999999999999</v>
      </c>
      <c r="J11" s="358">
        <f t="shared" ref="J11:J15" si="3">IFERROR(MEDIAN(C11:H11),"nm")</f>
        <v>1.3153999999999999</v>
      </c>
      <c r="K11" s="275"/>
      <c r="L11" s="243"/>
      <c r="M11" s="243"/>
    </row>
    <row r="12" spans="1:13" ht="20.85" customHeight="1" x14ac:dyDescent="0.3">
      <c r="B12" s="292" t="str">
        <f>'NWC Metrics'!B13</f>
        <v>Quick Ratio</v>
      </c>
      <c r="C12" s="350">
        <f>[1]!IntrinioFinancials(C$3,"calculations",0,"TTM",'NWC Metrics'!$N13)</f>
        <v>1.1343000000000001</v>
      </c>
      <c r="D12" s="351" t="str">
        <f>[1]!IntrinioFinancials(D$3,"calculations",0,"TTM",'NWC Metrics'!$N13)</f>
        <v/>
      </c>
      <c r="E12" s="351" t="str">
        <f>[1]!IntrinioFinancials(E$3,"calculations",0,"TTM",'NWC Metrics'!$N13)</f>
        <v/>
      </c>
      <c r="F12" s="351" t="str">
        <f>[1]!IntrinioFinancials(F$3,"calculations",0,"TTM",'NWC Metrics'!$N13)</f>
        <v/>
      </c>
      <c r="G12" s="351" t="str">
        <f>[1]!IntrinioFinancials(G$3,"calculations",0,"TTM",'NWC Metrics'!$N13)</f>
        <v/>
      </c>
      <c r="H12" s="352" t="str">
        <f>[1]!IntrinioFinancials(H$3,"calculations",0,"TTM",'NWC Metrics'!$N13)</f>
        <v/>
      </c>
      <c r="I12" s="363">
        <f t="shared" si="2"/>
        <v>1.1343000000000001</v>
      </c>
      <c r="J12" s="364">
        <f t="shared" si="3"/>
        <v>1.1343000000000001</v>
      </c>
      <c r="K12" s="327"/>
      <c r="L12" s="17"/>
      <c r="M12" s="17"/>
    </row>
    <row r="13" spans="1:13" s="242" customFormat="1" ht="20.85" customHeight="1" x14ac:dyDescent="0.35">
      <c r="B13" s="293" t="str">
        <f>'NWC Metrics'!B14</f>
        <v>Debt-free, Cash-free NWC to Revenue</v>
      </c>
      <c r="C13" s="274">
        <f>[1]!IntrinioFinancials(C$3,"calculations",0,"TTM",'NWC Metrics'!$N14)</f>
        <v>-0.11078200000000001</v>
      </c>
      <c r="D13" s="275" t="str">
        <f>[1]!IntrinioFinancials(D$3,"calculations",0,"TTM",'NWC Metrics'!$N14)</f>
        <v/>
      </c>
      <c r="E13" s="275" t="str">
        <f>[1]!IntrinioFinancials(E$3,"calculations",0,"TTM",'NWC Metrics'!$N14)</f>
        <v/>
      </c>
      <c r="F13" s="275" t="str">
        <f>[1]!IntrinioFinancials(F$3,"calculations",0,"TTM",'NWC Metrics'!$N14)</f>
        <v/>
      </c>
      <c r="G13" s="275" t="str">
        <f>[1]!IntrinioFinancials(G$3,"calculations",0,"TTM",'NWC Metrics'!$N14)</f>
        <v/>
      </c>
      <c r="H13" s="282" t="str">
        <f>[1]!IntrinioFinancials(H$3,"calculations",0,"TTM",'NWC Metrics'!$N14)</f>
        <v/>
      </c>
      <c r="I13" s="361">
        <f t="shared" si="2"/>
        <v>-0.11078200000000001</v>
      </c>
      <c r="J13" s="362">
        <f t="shared" si="3"/>
        <v>-0.11078200000000001</v>
      </c>
      <c r="K13" s="331"/>
      <c r="L13" s="243"/>
      <c r="M13" s="243"/>
    </row>
    <row r="14" spans="1:13" ht="20.85" customHeight="1" x14ac:dyDescent="0.3">
      <c r="B14" s="333" t="str">
        <f>'NWC Metrics'!B15</f>
        <v>Debt-free NWC to Revenue</v>
      </c>
      <c r="C14" s="326">
        <f>[1]!IntrinioFinancials(C$3,"calculations",0,"TTM",'NWC Metrics'!$N15)</f>
        <v>0.20482900000000001</v>
      </c>
      <c r="D14" s="327" t="str">
        <f>[1]!IntrinioFinancials(D$3,"calculations",0,"TTM",'NWC Metrics'!$N15)</f>
        <v/>
      </c>
      <c r="E14" s="327" t="str">
        <f>[1]!IntrinioFinancials(E$3,"calculations",0,"TTM",'NWC Metrics'!$N15)</f>
        <v/>
      </c>
      <c r="F14" s="327" t="str">
        <f>[1]!IntrinioFinancials(F$3,"calculations",0,"TTM",'NWC Metrics'!$N15)</f>
        <v/>
      </c>
      <c r="G14" s="327" t="str">
        <f>[1]!IntrinioFinancials(G$3,"calculations",0,"TTM",'NWC Metrics'!$N15)</f>
        <v/>
      </c>
      <c r="H14" s="328" t="str">
        <f>[1]!IntrinioFinancials(H$3,"calculations",0,"TTM",'NWC Metrics'!$N15)</f>
        <v/>
      </c>
      <c r="I14" s="365">
        <f t="shared" si="2"/>
        <v>0.20482900000000001</v>
      </c>
      <c r="J14" s="366">
        <f t="shared" si="3"/>
        <v>0.20482900000000001</v>
      </c>
      <c r="K14" s="327"/>
      <c r="L14" s="17"/>
      <c r="M14" s="17"/>
    </row>
    <row r="15" spans="1:13" s="242" customFormat="1" ht="20.85" customHeight="1" x14ac:dyDescent="0.35">
      <c r="B15" s="320" t="str">
        <f>'NWC Metrics'!B16</f>
        <v>NWC to Revenue</v>
      </c>
      <c r="C15" s="274">
        <f>[1]!IntrinioFinancials(C$3,"calculations",0,"TTM",'NWC Metrics'!$N16)</f>
        <v>0.11654</v>
      </c>
      <c r="D15" s="275" t="str">
        <f>[1]!IntrinioFinancials(D$3,"calculations",0,"TTM",'NWC Metrics'!$N16)</f>
        <v/>
      </c>
      <c r="E15" s="275" t="str">
        <f>[1]!IntrinioFinancials(E$3,"calculations",0,"TTM",'NWC Metrics'!$N16)</f>
        <v/>
      </c>
      <c r="F15" s="275" t="str">
        <f>[1]!IntrinioFinancials(F$3,"calculations",0,"TTM",'NWC Metrics'!$N16)</f>
        <v/>
      </c>
      <c r="G15" s="275" t="str">
        <f>[1]!IntrinioFinancials(G$3,"calculations",0,"TTM",'NWC Metrics'!$N16)</f>
        <v/>
      </c>
      <c r="H15" s="282" t="str">
        <f>[1]!IntrinioFinancials(H$3,"calculations",0,"TTM",'NWC Metrics'!$N16)</f>
        <v/>
      </c>
      <c r="I15" s="367">
        <f t="shared" si="2"/>
        <v>0.11654</v>
      </c>
      <c r="J15" s="368">
        <f t="shared" si="3"/>
        <v>0.11654</v>
      </c>
      <c r="K15" s="275"/>
      <c r="L15" s="243"/>
      <c r="M15" s="243"/>
    </row>
    <row r="16" spans="1:13" ht="21.9" customHeight="1" x14ac:dyDescent="0.3">
      <c r="B16" s="117"/>
      <c r="C16" s="117"/>
      <c r="D16" s="117"/>
      <c r="E16" s="117"/>
      <c r="F16" s="117"/>
      <c r="G16" s="117"/>
      <c r="H16" s="117"/>
      <c r="I16" s="117"/>
      <c r="J16" s="117"/>
      <c r="K16" s="49"/>
      <c r="L16" s="49"/>
      <c r="M16" s="17"/>
    </row>
    <row r="17" spans="2:13" ht="21.9" customHeight="1" x14ac:dyDescent="0.3">
      <c r="B17" s="117"/>
      <c r="C17" s="117"/>
      <c r="D17" s="117"/>
      <c r="E17" s="117"/>
      <c r="F17" s="117"/>
      <c r="G17" s="117"/>
      <c r="H17" s="117"/>
      <c r="I17" s="117"/>
      <c r="J17" s="117"/>
      <c r="K17" s="17"/>
      <c r="L17" s="17"/>
      <c r="M17" s="17"/>
    </row>
    <row r="18" spans="2:13" ht="21.9" customHeight="1" x14ac:dyDescent="0.3">
      <c r="B18" s="117"/>
      <c r="C18" s="117"/>
      <c r="D18" s="117"/>
      <c r="E18" s="117"/>
      <c r="F18" s="117"/>
      <c r="G18" s="117"/>
      <c r="H18" s="117"/>
      <c r="I18" s="117"/>
      <c r="J18" s="117"/>
      <c r="K18" s="17"/>
      <c r="L18" s="17"/>
      <c r="M18" s="17"/>
    </row>
    <row r="19" spans="2:13" ht="21.9" customHeight="1" x14ac:dyDescent="0.3">
      <c r="B19" s="117"/>
      <c r="C19" s="117"/>
      <c r="D19" s="117"/>
      <c r="E19" s="117"/>
      <c r="F19" s="117"/>
      <c r="G19" s="117"/>
      <c r="H19" s="117"/>
      <c r="I19" s="117"/>
      <c r="J19" s="117"/>
      <c r="K19" s="17"/>
      <c r="L19" s="17"/>
      <c r="M19" s="17"/>
    </row>
    <row r="20" spans="2:13" ht="21.9" customHeight="1" x14ac:dyDescent="0.3">
      <c r="B20" s="117"/>
      <c r="C20" s="117"/>
      <c r="D20" s="117"/>
      <c r="E20" s="117"/>
      <c r="F20" s="117"/>
      <c r="G20" s="117"/>
      <c r="H20" s="117"/>
      <c r="I20" s="117"/>
      <c r="J20" s="117"/>
      <c r="K20" s="17"/>
      <c r="L20" s="17"/>
      <c r="M20" s="17"/>
    </row>
    <row r="21" spans="2:13" ht="21.9" customHeight="1" x14ac:dyDescent="0.3">
      <c r="B21" s="117"/>
      <c r="C21" s="117"/>
      <c r="D21" s="117"/>
      <c r="E21" s="117"/>
      <c r="F21" s="117"/>
      <c r="G21" s="117"/>
      <c r="H21" s="117"/>
      <c r="I21" s="117"/>
      <c r="J21" s="117"/>
      <c r="K21" s="17"/>
      <c r="L21" s="17"/>
      <c r="M21" s="17"/>
    </row>
    <row r="22" spans="2:13" ht="21.9" customHeight="1" x14ac:dyDescent="0.3">
      <c r="B22" s="117"/>
      <c r="C22" s="117"/>
      <c r="D22" s="117"/>
      <c r="E22" s="117"/>
      <c r="F22" s="117"/>
      <c r="G22" s="117"/>
      <c r="H22" s="117"/>
      <c r="I22" s="117"/>
      <c r="J22" s="117"/>
      <c r="K22" s="17"/>
      <c r="L22" s="17"/>
      <c r="M22" s="17"/>
    </row>
    <row r="23" spans="2:13" ht="21.9" customHeight="1" x14ac:dyDescent="0.3">
      <c r="B23" s="117"/>
      <c r="C23" s="117"/>
      <c r="D23" s="117"/>
      <c r="E23" s="117"/>
      <c r="F23" s="117"/>
      <c r="G23" s="117"/>
      <c r="H23" s="117"/>
      <c r="I23" s="117"/>
      <c r="J23" s="117"/>
      <c r="K23" s="17"/>
      <c r="L23" s="17"/>
      <c r="M23" s="17"/>
    </row>
    <row r="24" spans="2:13" ht="21.9" customHeight="1" x14ac:dyDescent="0.3">
      <c r="B24" s="117"/>
      <c r="C24" s="117"/>
      <c r="D24" s="117"/>
      <c r="E24" s="117"/>
      <c r="F24" s="117"/>
      <c r="G24" s="117"/>
      <c r="H24" s="117"/>
      <c r="I24" s="117"/>
      <c r="J24" s="117"/>
      <c r="K24" s="17"/>
      <c r="L24" s="17"/>
      <c r="M24" s="17"/>
    </row>
    <row r="25" spans="2:13" ht="21.9" customHeight="1" x14ac:dyDescent="0.3">
      <c r="B25" s="117"/>
      <c r="C25" s="117"/>
      <c r="D25" s="117"/>
      <c r="E25" s="117"/>
      <c r="F25" s="117"/>
      <c r="G25" s="117"/>
      <c r="H25" s="117"/>
      <c r="I25" s="117"/>
      <c r="J25" s="117"/>
      <c r="K25" s="17"/>
      <c r="L25" s="17"/>
      <c r="M25" s="17"/>
    </row>
    <row r="26" spans="2:13" ht="21.9" customHeight="1" x14ac:dyDescent="0.3">
      <c r="B26" s="117"/>
      <c r="C26" s="117"/>
      <c r="D26" s="117"/>
      <c r="E26" s="117"/>
      <c r="F26" s="117"/>
      <c r="G26" s="117"/>
      <c r="H26" s="117"/>
      <c r="I26" s="117"/>
      <c r="J26" s="117"/>
      <c r="K26" s="17"/>
      <c r="L26" s="17"/>
      <c r="M26" s="17"/>
    </row>
    <row r="27" spans="2:13" ht="21.9" customHeight="1" x14ac:dyDescent="0.3">
      <c r="B27" s="117"/>
      <c r="C27" s="117"/>
      <c r="D27" s="117"/>
      <c r="E27" s="117"/>
      <c r="F27" s="117"/>
      <c r="G27" s="117"/>
      <c r="H27" s="117"/>
      <c r="I27" s="117"/>
      <c r="J27" s="117"/>
      <c r="K27" s="17"/>
      <c r="L27" s="17"/>
      <c r="M27" s="17"/>
    </row>
    <row r="28" spans="2:13" ht="21.9" customHeight="1" x14ac:dyDescent="0.3">
      <c r="B28" s="28"/>
      <c r="C28" s="253"/>
      <c r="D28" s="253"/>
      <c r="E28" s="253"/>
      <c r="F28" s="253"/>
      <c r="G28" s="253"/>
      <c r="H28" s="253"/>
      <c r="I28" s="28"/>
      <c r="J28" s="28"/>
      <c r="K28" s="16"/>
      <c r="L28" s="17"/>
      <c r="M28" s="17"/>
    </row>
    <row r="29" spans="2:13" ht="21.9" customHeight="1" x14ac:dyDescent="0.3">
      <c r="B29" s="28"/>
      <c r="C29" s="253"/>
      <c r="D29" s="253"/>
      <c r="E29" s="253"/>
      <c r="F29" s="253"/>
      <c r="G29" s="253"/>
      <c r="H29" s="253"/>
      <c r="I29" s="28"/>
      <c r="J29" s="28"/>
      <c r="K29" s="17"/>
      <c r="L29" s="17"/>
      <c r="M29" s="17"/>
    </row>
    <row r="30" spans="2:13" ht="21.9" customHeight="1" x14ac:dyDescent="0.3">
      <c r="B30" s="28" t="s">
        <v>152</v>
      </c>
      <c r="C30" s="28" t="str">
        <f>IF(ticker="","",ticker)</f>
        <v>AAPL</v>
      </c>
      <c r="D30" s="28" t="str">
        <f>IF(comp1="","",comp1)</f>
        <v/>
      </c>
      <c r="E30" s="28" t="str">
        <f>IF(comp2="","",comp2)</f>
        <v/>
      </c>
      <c r="F30" s="28" t="str">
        <f>IF(comp3="","",comp3)</f>
        <v/>
      </c>
      <c r="G30" s="28" t="str">
        <f>IF(comp4="","",comp4)</f>
        <v/>
      </c>
      <c r="H30" s="28" t="str">
        <f>IF(comp5="","",comp5)</f>
        <v/>
      </c>
      <c r="I30" s="28"/>
      <c r="J30" s="28"/>
    </row>
    <row r="31" spans="2:13" ht="23.85" customHeight="1" x14ac:dyDescent="0.3">
      <c r="B31" s="28"/>
      <c r="C31" s="28"/>
      <c r="D31" s="28"/>
      <c r="E31" s="28"/>
      <c r="F31" s="28"/>
      <c r="G31" s="28"/>
      <c r="H31" s="28"/>
      <c r="I31" s="28"/>
      <c r="J31" s="28"/>
    </row>
    <row r="32" spans="2:13" ht="15.75" customHeight="1" x14ac:dyDescent="0.3">
      <c r="C32" s="3"/>
      <c r="D32" s="3"/>
      <c r="E32" s="3"/>
      <c r="F32" s="3"/>
      <c r="G32" s="3"/>
      <c r="H32" s="3"/>
      <c r="I32" s="3"/>
      <c r="J32" s="3"/>
      <c r="K32" s="20"/>
    </row>
    <row r="33" spans="3:11" x14ac:dyDescent="0.3">
      <c r="C33" s="3"/>
      <c r="D33" s="3"/>
      <c r="E33" s="3"/>
      <c r="F33" s="3"/>
      <c r="G33" s="3"/>
      <c r="H33" s="3"/>
      <c r="I33" s="3"/>
      <c r="J33" s="3"/>
      <c r="K33" s="20"/>
    </row>
    <row r="34" spans="3:11" x14ac:dyDescent="0.3">
      <c r="C34" s="3"/>
      <c r="D34" s="3"/>
      <c r="E34" s="3"/>
      <c r="F34" s="3"/>
      <c r="G34" s="3"/>
      <c r="H34" s="3"/>
      <c r="I34" s="3"/>
      <c r="J34" s="3"/>
      <c r="K34" s="20"/>
    </row>
    <row r="35" spans="3:11" x14ac:dyDescent="0.3">
      <c r="C35" s="3"/>
      <c r="D35" s="3"/>
      <c r="E35" s="3"/>
      <c r="F35" s="3"/>
      <c r="G35" s="3"/>
      <c r="H35" s="3"/>
      <c r="I35" s="3"/>
      <c r="J35" s="3"/>
      <c r="K35" s="20"/>
    </row>
    <row r="36" spans="3:11" x14ac:dyDescent="0.3">
      <c r="C36" s="3"/>
      <c r="D36" s="3"/>
      <c r="E36" s="3"/>
      <c r="F36" s="3"/>
      <c r="G36" s="3"/>
      <c r="H36" s="3"/>
      <c r="I36" s="3"/>
      <c r="J36" s="3"/>
      <c r="K36" s="20"/>
    </row>
    <row r="37" spans="3:11" x14ac:dyDescent="0.3">
      <c r="C37" s="3"/>
      <c r="D37" s="3"/>
      <c r="E37" s="3"/>
      <c r="F37" s="3"/>
      <c r="G37" s="3"/>
      <c r="H37" s="3"/>
      <c r="I37" s="3"/>
      <c r="J37" s="3"/>
    </row>
    <row r="38" spans="3:11" x14ac:dyDescent="0.3">
      <c r="C38" s="3"/>
      <c r="D38" s="3"/>
      <c r="E38" s="3"/>
      <c r="F38" s="3"/>
      <c r="G38" s="3"/>
      <c r="H38" s="3"/>
      <c r="I38" s="3"/>
      <c r="J38" s="3"/>
      <c r="K38" s="19"/>
    </row>
    <row r="39" spans="3:11" x14ac:dyDescent="0.3">
      <c r="C39" s="3"/>
      <c r="D39" s="3"/>
      <c r="E39" s="3"/>
      <c r="F39" s="3"/>
      <c r="G39" s="3"/>
      <c r="H39" s="3"/>
      <c r="I39" s="3"/>
      <c r="J39" s="3"/>
    </row>
    <row r="40" spans="3:11" x14ac:dyDescent="0.3">
      <c r="C40" s="3"/>
      <c r="D40" s="3"/>
      <c r="E40" s="3"/>
      <c r="F40" s="3"/>
      <c r="G40" s="3"/>
      <c r="H40" s="3"/>
      <c r="I40" s="3"/>
      <c r="J40" s="3"/>
    </row>
    <row r="41" spans="3:11" x14ac:dyDescent="0.3">
      <c r="C41" s="3"/>
      <c r="D41" s="3"/>
      <c r="E41" s="3"/>
      <c r="F41" s="3"/>
      <c r="G41" s="3"/>
      <c r="H41" s="3"/>
      <c r="I41" s="3"/>
      <c r="J41" s="3"/>
    </row>
    <row r="42" spans="3:11" x14ac:dyDescent="0.3">
      <c r="C42" s="3"/>
      <c r="D42" s="3"/>
      <c r="E42" s="3"/>
      <c r="F42" s="3"/>
      <c r="G42" s="3"/>
      <c r="H42" s="3"/>
      <c r="I42" s="3"/>
      <c r="J42" s="3"/>
    </row>
    <row r="43" spans="3:11" x14ac:dyDescent="0.3">
      <c r="C43" s="3"/>
      <c r="D43" s="3"/>
      <c r="E43" s="3"/>
      <c r="F43" s="3"/>
      <c r="G43" s="3"/>
      <c r="H43" s="3"/>
      <c r="I43" s="3"/>
      <c r="J43" s="3"/>
    </row>
    <row r="44" spans="3:11" x14ac:dyDescent="0.3">
      <c r="C44" s="3"/>
      <c r="D44" s="3"/>
      <c r="E44" s="3"/>
      <c r="F44" s="3"/>
      <c r="G44" s="3"/>
      <c r="H44" s="3"/>
      <c r="I44" s="3"/>
      <c r="J44" s="3"/>
    </row>
  </sheetData>
  <conditionalFormatting sqref="K32:K34">
    <cfRule type="cellIs" dxfId="3" priority="1" operator="greaterThan">
      <formula>0</formula>
    </cfRule>
    <cfRule type="cellIs" dxfId="2" priority="2" operator="lessThan">
      <formula>0</formula>
    </cfRule>
  </conditionalFormatting>
  <pageMargins left="0.7" right="0.7" top="0.75" bottom="0.75" header="0.3" footer="0.3"/>
  <pageSetup scale="86" orientation="landscape" r:id="rId1"/>
  <headerFooter>
    <oddHeader>&amp;LApple Inc (AAPL)          $116.52&amp;RReport Date: 12/26/2016</oddHeader>
    <oddFooter>&amp;L&amp;G&amp;R&amp;P</oddFooter>
  </headerFooter>
  <drawing r:id="rId2"/>
  <legacyDrawingHF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theme="9"/>
    <pageSetUpPr fitToPage="1"/>
  </sheetPr>
  <dimension ref="A1:M46"/>
  <sheetViews>
    <sheetView showGridLines="0" view="pageBreakPreview" zoomScale="80" zoomScaleNormal="100" zoomScaleSheetLayoutView="80" workbookViewId="0"/>
  </sheetViews>
  <sheetFormatPr defaultColWidth="9.109375" defaultRowHeight="14.4" x14ac:dyDescent="0.3"/>
  <cols>
    <col min="1" max="1" width="2.44140625" style="18" customWidth="1"/>
    <col min="2" max="2" width="40.77734375" style="18" customWidth="1"/>
    <col min="3" max="10" width="11.77734375" style="18" customWidth="1"/>
    <col min="11" max="11" width="0.88671875" style="18" customWidth="1"/>
    <col min="12" max="12" width="15.44140625" style="18" customWidth="1"/>
    <col min="13" max="13" width="14.44140625" style="18" customWidth="1"/>
    <col min="14" max="16384" width="9.109375" style="18"/>
  </cols>
  <sheetData>
    <row r="1" spans="1:13" ht="16.2" x14ac:dyDescent="0.35">
      <c r="A1" s="23" t="s">
        <v>210</v>
      </c>
    </row>
    <row r="3" spans="1:13" ht="21.9" customHeight="1" x14ac:dyDescent="0.3">
      <c r="B3" s="104"/>
      <c r="C3" s="105" t="str">
        <f>IF(ticker="","",ticker)</f>
        <v>AAPL</v>
      </c>
      <c r="D3" s="106" t="str">
        <f>IF(D32=0,"",D32)</f>
        <v/>
      </c>
      <c r="E3" s="106" t="str">
        <f>IF(E32=0,"",E32)</f>
        <v/>
      </c>
      <c r="F3" s="106" t="str">
        <f>IF(F32=0,"",F32)</f>
        <v/>
      </c>
      <c r="G3" s="106" t="str">
        <f>IF(G32=0,"",G32)</f>
        <v/>
      </c>
      <c r="H3" s="106" t="str">
        <f>IF(H32=0,"",H32)</f>
        <v/>
      </c>
      <c r="I3" s="105" t="s">
        <v>144</v>
      </c>
      <c r="J3" s="106" t="s">
        <v>145</v>
      </c>
      <c r="L3" s="1"/>
    </row>
    <row r="4" spans="1:13" ht="20.85" customHeight="1" x14ac:dyDescent="0.3">
      <c r="B4" s="271" t="s">
        <v>166</v>
      </c>
      <c r="C4" s="277"/>
      <c r="D4" s="247"/>
      <c r="E4" s="247"/>
      <c r="F4" s="247"/>
      <c r="G4" s="247"/>
      <c r="H4" s="247"/>
      <c r="I4" s="300"/>
      <c r="J4" s="301"/>
      <c r="K4" s="17"/>
      <c r="L4" s="17"/>
      <c r="M4" s="17"/>
    </row>
    <row r="5" spans="1:13" s="242" customFormat="1" ht="20.85" customHeight="1" x14ac:dyDescent="0.35">
      <c r="B5" s="293" t="s">
        <v>161</v>
      </c>
      <c r="C5" s="274">
        <f>[1]!IntrinioFinancials(C$3,"calculations",0,"TTM",'Debt Metrics'!$N6)</f>
        <v>0.10255599999999999</v>
      </c>
      <c r="D5" s="275" t="str">
        <f>[1]!IntrinioFinancials(D$3,"calculations",0,"TTM",'Debt Metrics'!$N6)</f>
        <v/>
      </c>
      <c r="E5" s="275" t="str">
        <f>[1]!IntrinioFinancials(E$3,"calculations",0,"TTM",'Debt Metrics'!$N6)</f>
        <v/>
      </c>
      <c r="F5" s="296" t="str">
        <f>[1]!IntrinioFinancials(F$3,"calculations",0,"TTM",'Debt Metrics'!$N6)</f>
        <v/>
      </c>
      <c r="G5" s="296" t="str">
        <f>[1]!IntrinioFinancials(G$3,"calculations",0,"TTM",'Debt Metrics'!$N6)</f>
        <v/>
      </c>
      <c r="H5" s="296" t="str">
        <f>[1]!IntrinioFinancials(H$3,"calculations",0,"TTM",'Debt Metrics'!$N6)</f>
        <v/>
      </c>
      <c r="I5" s="302">
        <f t="shared" ref="I5:I9" si="0">IFERROR(AVERAGE(C5:H5),"nm")</f>
        <v>0.10255599999999999</v>
      </c>
      <c r="J5" s="303">
        <f t="shared" ref="J5:J9" si="1">IFERROR(MEDIAN(C5:H5),"nm")</f>
        <v>0.10255599999999999</v>
      </c>
      <c r="K5" s="243"/>
      <c r="L5" s="243"/>
      <c r="M5" s="243"/>
    </row>
    <row r="6" spans="1:13" ht="20.85" customHeight="1" x14ac:dyDescent="0.3">
      <c r="B6" s="292" t="s">
        <v>162</v>
      </c>
      <c r="C6" s="283">
        <f>[1]!IntrinioFinancials(C$3,"calculations",0,"TTM",'Debt Metrics'!$N7)</f>
        <v>0.412883</v>
      </c>
      <c r="D6" s="273" t="str">
        <f>[1]!IntrinioFinancials(D$3,"calculations",0,"TTM",'Debt Metrics'!$N7)</f>
        <v/>
      </c>
      <c r="E6" s="273" t="str">
        <f>[1]!IntrinioFinancials(E$3,"calculations",0,"TTM",'Debt Metrics'!$N7)</f>
        <v/>
      </c>
      <c r="F6" s="297" t="str">
        <f>[1]!IntrinioFinancials(F$3,"calculations",0,"TTM",'Debt Metrics'!$N7)</f>
        <v/>
      </c>
      <c r="G6" s="297" t="str">
        <f>[1]!IntrinioFinancials(G$3,"calculations",0,"TTM",'Debt Metrics'!$N7)</f>
        <v/>
      </c>
      <c r="H6" s="297" t="str">
        <f>[1]!IntrinioFinancials(H$3,"calculations",0,"TTM",'Debt Metrics'!$N7)</f>
        <v/>
      </c>
      <c r="I6" s="304">
        <f t="shared" si="0"/>
        <v>0.412883</v>
      </c>
      <c r="J6" s="305">
        <f t="shared" si="1"/>
        <v>0.412883</v>
      </c>
      <c r="K6" s="17"/>
      <c r="L6" s="17"/>
      <c r="M6" s="17"/>
    </row>
    <row r="7" spans="1:13" s="242" customFormat="1" ht="20.85" customHeight="1" x14ac:dyDescent="0.35">
      <c r="B7" s="293" t="s">
        <v>163</v>
      </c>
      <c r="C7" s="274">
        <f>[1]!IntrinioFinancials(C$3,"calculations",0,"TTM",'Debt Metrics'!$N8)</f>
        <v>0</v>
      </c>
      <c r="D7" s="275" t="str">
        <f>[1]!IntrinioFinancials(D$3,"calculations",0,"TTM",'Debt Metrics'!$N8)</f>
        <v/>
      </c>
      <c r="E7" s="275" t="str">
        <f>[1]!IntrinioFinancials(E$3,"calculations",0,"TTM",'Debt Metrics'!$N8)</f>
        <v/>
      </c>
      <c r="F7" s="296" t="str">
        <f>[1]!IntrinioFinancials(F$3,"calculations",0,"TTM",'Debt Metrics'!$N8)</f>
        <v/>
      </c>
      <c r="G7" s="296" t="str">
        <f>[1]!IntrinioFinancials(G$3,"calculations",0,"TTM",'Debt Metrics'!$N8)</f>
        <v/>
      </c>
      <c r="H7" s="296" t="str">
        <f>[1]!IntrinioFinancials(H$3,"calculations",0,"TTM",'Debt Metrics'!$N8)</f>
        <v/>
      </c>
      <c r="I7" s="302">
        <f t="shared" si="0"/>
        <v>0</v>
      </c>
      <c r="J7" s="303">
        <f t="shared" si="1"/>
        <v>0</v>
      </c>
      <c r="K7" s="243"/>
      <c r="L7" s="243"/>
      <c r="M7" s="243"/>
    </row>
    <row r="8" spans="1:13" ht="20.85" customHeight="1" x14ac:dyDescent="0.3">
      <c r="B8" s="292" t="s">
        <v>164</v>
      </c>
      <c r="C8" s="283">
        <f>[1]!IntrinioFinancials(C$3,"calculations",0,"TTM",'Debt Metrics'!$N9)</f>
        <v>0</v>
      </c>
      <c r="D8" s="273" t="str">
        <f>[1]!IntrinioFinancials(D$3,"calculations",0,"TTM",'Debt Metrics'!$N9)</f>
        <v/>
      </c>
      <c r="E8" s="273" t="str">
        <f>[1]!IntrinioFinancials(E$3,"calculations",0,"TTM",'Debt Metrics'!$N9)</f>
        <v/>
      </c>
      <c r="F8" s="297" t="str">
        <f>[1]!IntrinioFinancials(F$3,"calculations",0,"TTM",'Debt Metrics'!$N9)</f>
        <v/>
      </c>
      <c r="G8" s="297" t="str">
        <f>[1]!IntrinioFinancials(G$3,"calculations",0,"TTM",'Debt Metrics'!$N9)</f>
        <v/>
      </c>
      <c r="H8" s="297" t="str">
        <f>[1]!IntrinioFinancials(H$3,"calculations",0,"TTM",'Debt Metrics'!$N9)</f>
        <v/>
      </c>
      <c r="I8" s="304">
        <f t="shared" si="0"/>
        <v>0</v>
      </c>
      <c r="J8" s="305">
        <f t="shared" si="1"/>
        <v>0</v>
      </c>
      <c r="K8" s="17"/>
      <c r="L8" s="17"/>
      <c r="M8" s="17"/>
    </row>
    <row r="9" spans="1:13" s="242" customFormat="1" ht="20.85" customHeight="1" x14ac:dyDescent="0.35">
      <c r="B9" s="293" t="s">
        <v>165</v>
      </c>
      <c r="C9" s="274">
        <f>[1]!IntrinioFinancials(C$3,"calculations",0,"TTM",'Debt Metrics'!$N10)</f>
        <v>0.48456100000000002</v>
      </c>
      <c r="D9" s="275" t="str">
        <f>[1]!IntrinioFinancials(D$3,"calculations",0,"TTM",'Debt Metrics'!$N10)</f>
        <v/>
      </c>
      <c r="E9" s="275" t="str">
        <f>[1]!IntrinioFinancials(E$3,"calculations",0,"TTM",'Debt Metrics'!$N10)</f>
        <v/>
      </c>
      <c r="F9" s="296" t="str">
        <f>[1]!IntrinioFinancials(F$3,"calculations",0,"TTM",'Debt Metrics'!$N10)</f>
        <v/>
      </c>
      <c r="G9" s="296" t="str">
        <f>[1]!IntrinioFinancials(G$3,"calculations",0,"TTM",'Debt Metrics'!$N10)</f>
        <v/>
      </c>
      <c r="H9" s="296" t="str">
        <f>[1]!IntrinioFinancials(H$3,"calculations",0,"TTM",'Debt Metrics'!$N10)</f>
        <v/>
      </c>
      <c r="I9" s="302">
        <f t="shared" si="0"/>
        <v>0.48456100000000002</v>
      </c>
      <c r="J9" s="303">
        <f t="shared" si="1"/>
        <v>0.48456100000000002</v>
      </c>
      <c r="K9" s="243"/>
      <c r="L9" s="243"/>
      <c r="M9" s="243"/>
    </row>
    <row r="10" spans="1:13" ht="20.85" customHeight="1" x14ac:dyDescent="0.3">
      <c r="B10" s="271" t="s">
        <v>181</v>
      </c>
      <c r="C10" s="277"/>
      <c r="D10" s="247"/>
      <c r="E10" s="247"/>
      <c r="F10" s="247"/>
      <c r="G10" s="247"/>
      <c r="H10" s="247"/>
      <c r="I10" s="306"/>
      <c r="J10" s="307"/>
      <c r="K10" s="17"/>
      <c r="L10" s="17"/>
      <c r="M10" s="17"/>
    </row>
    <row r="11" spans="1:13" s="242" customFormat="1" ht="20.85" customHeight="1" x14ac:dyDescent="0.35">
      <c r="B11" s="293" t="s">
        <v>182</v>
      </c>
      <c r="C11" s="285">
        <f>[1]!IntrinioFinancials(C$3,"calculations",0,"TTM",'Debt Metrics'!$N12)</f>
        <v>1.0637000000000001</v>
      </c>
      <c r="D11" s="286" t="str">
        <f>[1]!IntrinioFinancials(D$3,"calculations",0,"TTM",'Debt Metrics'!$N12)</f>
        <v/>
      </c>
      <c r="E11" s="286" t="str">
        <f>[1]!IntrinioFinancials(E$3,"calculations",0,"TTM",'Debt Metrics'!$N12)</f>
        <v/>
      </c>
      <c r="F11" s="298" t="str">
        <f>[1]!IntrinioFinancials(F$3,"calculations",0,"TTM",'Debt Metrics'!$N12)</f>
        <v/>
      </c>
      <c r="G11" s="298" t="str">
        <f>[1]!IntrinioFinancials(G$3,"calculations",0,"TTM",'Debt Metrics'!$N12)</f>
        <v/>
      </c>
      <c r="H11" s="298" t="str">
        <f>[1]!IntrinioFinancials(H$3,"calculations",0,"TTM",'Debt Metrics'!$N12)</f>
        <v/>
      </c>
      <c r="I11" s="308">
        <f t="shared" ref="I11" si="2">IFERROR(AVERAGE(C11:H11),"nm")</f>
        <v>1.0637000000000001</v>
      </c>
      <c r="J11" s="309">
        <f t="shared" ref="J11" si="3">IFERROR(MEDIAN(C11:H11),"nm")</f>
        <v>1.0637000000000001</v>
      </c>
      <c r="K11" s="243"/>
      <c r="L11" s="243"/>
      <c r="M11" s="243"/>
    </row>
    <row r="12" spans="1:13" ht="20.85" customHeight="1" x14ac:dyDescent="0.3">
      <c r="B12" s="317" t="s">
        <v>166</v>
      </c>
      <c r="C12" s="288"/>
      <c r="D12" s="289"/>
      <c r="E12" s="289"/>
      <c r="F12" s="299"/>
      <c r="G12" s="299"/>
      <c r="H12" s="299"/>
      <c r="I12" s="310"/>
      <c r="J12" s="311"/>
      <c r="K12" s="17"/>
      <c r="L12" s="17"/>
      <c r="M12" s="17"/>
    </row>
    <row r="13" spans="1:13" s="242" customFormat="1" ht="20.85" customHeight="1" x14ac:dyDescent="0.35">
      <c r="B13" s="293" t="s">
        <v>177</v>
      </c>
      <c r="C13" s="285" t="str">
        <f>[1]!IntrinioFinancials(C$3,"calculations",0,"TTM",'Debt Metrics'!$N14)</f>
        <v>nm</v>
      </c>
      <c r="D13" s="286" t="str">
        <f>[1]!IntrinioFinancials(D$3,"calculations",0,"TTM",'Debt Metrics'!$N14)</f>
        <v/>
      </c>
      <c r="E13" s="286" t="str">
        <f>[1]!IntrinioFinancials(E$3,"calculations",0,"TTM",'Debt Metrics'!$N14)</f>
        <v/>
      </c>
      <c r="F13" s="295" t="str">
        <f>[1]!IntrinioFinancials(F$3,"calculations",0,"TTM",'Debt Metrics'!$N14)</f>
        <v/>
      </c>
      <c r="G13" s="295" t="str">
        <f>[1]!IntrinioFinancials(G$3,"calculations",0,"TTM",'Debt Metrics'!$N14)</f>
        <v/>
      </c>
      <c r="H13" s="295" t="str">
        <f>[1]!IntrinioFinancials(H$3,"calculations",0,"TTM",'Debt Metrics'!$N14)</f>
        <v/>
      </c>
      <c r="I13" s="314" t="str">
        <f t="shared" ref="I13:I14" si="4">IFERROR(AVERAGE(C13:H13),"nm")</f>
        <v>nm</v>
      </c>
      <c r="J13" s="315" t="str">
        <f t="shared" ref="J13:J14" si="5">IFERROR(MEDIAN(C13:H13),"nm")</f>
        <v>nm</v>
      </c>
      <c r="K13" s="243"/>
      <c r="L13" s="243"/>
      <c r="M13" s="243"/>
    </row>
    <row r="14" spans="1:13" ht="20.85" customHeight="1" x14ac:dyDescent="0.3">
      <c r="B14" s="292" t="s">
        <v>178</v>
      </c>
      <c r="C14" s="288" t="str">
        <f>[1]!IntrinioFinancials(C$3,"calculations",0,"TTM",'Debt Metrics'!$N15)</f>
        <v>nm</v>
      </c>
      <c r="D14" s="289" t="str">
        <f>[1]!IntrinioFinancials(D$3,"calculations",0,"TTM",'Debt Metrics'!$N15)</f>
        <v/>
      </c>
      <c r="E14" s="289" t="str">
        <f>[1]!IntrinioFinancials(E$3,"calculations",0,"TTM",'Debt Metrics'!$N15)</f>
        <v/>
      </c>
      <c r="F14" s="294" t="str">
        <f>[1]!IntrinioFinancials(F$3,"calculations",0,"TTM",'Debt Metrics'!$N15)</f>
        <v/>
      </c>
      <c r="G14" s="294" t="str">
        <f>[1]!IntrinioFinancials(G$3,"calculations",0,"TTM",'Debt Metrics'!$N15)</f>
        <v/>
      </c>
      <c r="H14" s="294" t="str">
        <f>[1]!IntrinioFinancials(H$3,"calculations",0,"TTM",'Debt Metrics'!$N15)</f>
        <v/>
      </c>
      <c r="I14" s="312" t="str">
        <f t="shared" si="4"/>
        <v>nm</v>
      </c>
      <c r="J14" s="313" t="str">
        <f t="shared" si="5"/>
        <v>nm</v>
      </c>
      <c r="K14" s="17"/>
      <c r="L14" s="17"/>
      <c r="M14" s="17"/>
    </row>
    <row r="15" spans="1:13" s="242" customFormat="1" ht="20.85" customHeight="1" x14ac:dyDescent="0.35">
      <c r="B15" s="318" t="s">
        <v>176</v>
      </c>
      <c r="C15" s="285"/>
      <c r="D15" s="286"/>
      <c r="E15" s="286"/>
      <c r="F15" s="295"/>
      <c r="G15" s="295"/>
      <c r="H15" s="295"/>
      <c r="I15" s="314"/>
      <c r="J15" s="315"/>
      <c r="K15" s="243"/>
      <c r="L15" s="243"/>
      <c r="M15" s="243"/>
    </row>
    <row r="16" spans="1:13" ht="20.85" customHeight="1" x14ac:dyDescent="0.3">
      <c r="B16" s="292" t="s">
        <v>174</v>
      </c>
      <c r="C16" s="288">
        <f>[1]!IntrinioFinancials(C$3,"calculations",0,"TTM",'Debt Metrics'!$N17)</f>
        <v>1.4208000000000001</v>
      </c>
      <c r="D16" s="289" t="str">
        <f>[1]!IntrinioFinancials(D$3,"calculations",0,"TTM",'Debt Metrics'!$N17)</f>
        <v/>
      </c>
      <c r="E16" s="289" t="str">
        <f>[1]!IntrinioFinancials(E$3,"calculations",0,"TTM",'Debt Metrics'!$N17)</f>
        <v/>
      </c>
      <c r="F16" s="299" t="str">
        <f>[1]!IntrinioFinancials(F$3,"calculations",0,"TTM",'Debt Metrics'!$N17)</f>
        <v/>
      </c>
      <c r="G16" s="299" t="str">
        <f>[1]!IntrinioFinancials(G$3,"calculations",0,"TTM",'Debt Metrics'!$N17)</f>
        <v/>
      </c>
      <c r="H16" s="299" t="str">
        <f>[1]!IntrinioFinancials(H$3,"calculations",0,"TTM",'Debt Metrics'!$N17)</f>
        <v/>
      </c>
      <c r="I16" s="310">
        <f t="shared" ref="I16:I17" si="6">IFERROR(AVERAGE(C16:H16),"nm")</f>
        <v>1.4208000000000001</v>
      </c>
      <c r="J16" s="311">
        <f t="shared" ref="J16:J17" si="7">IFERROR(MEDIAN(C16:H16),"nm")</f>
        <v>1.4208000000000001</v>
      </c>
      <c r="K16" s="17"/>
      <c r="L16" s="17"/>
      <c r="M16" s="17"/>
    </row>
    <row r="17" spans="2:13" s="242" customFormat="1" ht="20.85" customHeight="1" x14ac:dyDescent="0.35">
      <c r="B17" s="293" t="s">
        <v>175</v>
      </c>
      <c r="C17" s="285">
        <f>[1]!IntrinioFinancials(C$3,"calculations",0,"TTM",'Debt Metrics'!$N18)</f>
        <v>-1.4233</v>
      </c>
      <c r="D17" s="286" t="str">
        <f>[1]!IntrinioFinancials(D$3,"calculations",0,"TTM",'Debt Metrics'!$N18)</f>
        <v/>
      </c>
      <c r="E17" s="286" t="str">
        <f>[1]!IntrinioFinancials(E$3,"calculations",0,"TTM",'Debt Metrics'!$N18)</f>
        <v/>
      </c>
      <c r="F17" s="295" t="str">
        <f>[1]!IntrinioFinancials(F$3,"calculations",0,"TTM",'Debt Metrics'!$N18)</f>
        <v/>
      </c>
      <c r="G17" s="295" t="str">
        <f>[1]!IntrinioFinancials(G$3,"calculations",0,"TTM",'Debt Metrics'!$N18)</f>
        <v/>
      </c>
      <c r="H17" s="295" t="str">
        <f>[1]!IntrinioFinancials(H$3,"calculations",0,"TTM",'Debt Metrics'!$N18)</f>
        <v/>
      </c>
      <c r="I17" s="314">
        <f t="shared" si="6"/>
        <v>-1.4233</v>
      </c>
      <c r="J17" s="315">
        <f t="shared" si="7"/>
        <v>-1.4233</v>
      </c>
      <c r="K17" s="243"/>
      <c r="L17" s="243"/>
      <c r="M17" s="243"/>
    </row>
    <row r="18" spans="2:13" ht="21.9" customHeight="1" x14ac:dyDescent="0.3">
      <c r="B18" s="117"/>
      <c r="C18" s="117"/>
      <c r="D18" s="117"/>
      <c r="E18" s="117"/>
      <c r="F18" s="117"/>
      <c r="G18" s="117"/>
      <c r="H18" s="117"/>
      <c r="I18" s="117"/>
      <c r="J18" s="117"/>
      <c r="K18" s="49"/>
      <c r="L18" s="49"/>
      <c r="M18" s="17"/>
    </row>
    <row r="19" spans="2:13" ht="21.9" customHeight="1" x14ac:dyDescent="0.3">
      <c r="B19" s="117"/>
      <c r="C19" s="117"/>
      <c r="D19" s="117"/>
      <c r="E19" s="117"/>
      <c r="F19" s="117"/>
      <c r="G19" s="117"/>
      <c r="H19" s="117"/>
      <c r="I19" s="117"/>
      <c r="J19" s="117"/>
      <c r="K19" s="17"/>
      <c r="L19" s="17"/>
      <c r="M19" s="17"/>
    </row>
    <row r="20" spans="2:13" ht="21.9" customHeight="1" x14ac:dyDescent="0.3">
      <c r="B20" s="117"/>
      <c r="C20" s="117"/>
      <c r="D20" s="117"/>
      <c r="E20" s="117"/>
      <c r="F20" s="117"/>
      <c r="G20" s="117"/>
      <c r="H20" s="117"/>
      <c r="I20" s="117"/>
      <c r="J20" s="117"/>
      <c r="K20" s="17"/>
      <c r="L20" s="17"/>
      <c r="M20" s="17"/>
    </row>
    <row r="21" spans="2:13" ht="21.9" customHeight="1" x14ac:dyDescent="0.3">
      <c r="B21" s="117"/>
      <c r="C21" s="117"/>
      <c r="D21" s="117"/>
      <c r="E21" s="117"/>
      <c r="F21" s="117"/>
      <c r="G21" s="117"/>
      <c r="H21" s="117"/>
      <c r="I21" s="117"/>
      <c r="J21" s="117"/>
      <c r="K21" s="17"/>
      <c r="L21" s="17"/>
      <c r="M21" s="17"/>
    </row>
    <row r="22" spans="2:13" ht="21.9" customHeight="1" x14ac:dyDescent="0.3">
      <c r="B22" s="117"/>
      <c r="C22" s="117"/>
      <c r="D22" s="117"/>
      <c r="E22" s="117"/>
      <c r="F22" s="117"/>
      <c r="G22" s="117"/>
      <c r="H22" s="117"/>
      <c r="I22" s="117"/>
      <c r="J22" s="117"/>
      <c r="K22" s="17"/>
      <c r="L22" s="17"/>
      <c r="M22" s="17"/>
    </row>
    <row r="23" spans="2:13" ht="21.9" customHeight="1" x14ac:dyDescent="0.3">
      <c r="B23" s="117"/>
      <c r="C23" s="117"/>
      <c r="D23" s="117"/>
      <c r="E23" s="117"/>
      <c r="F23" s="117"/>
      <c r="G23" s="117"/>
      <c r="H23" s="117"/>
      <c r="I23" s="117"/>
      <c r="J23" s="117"/>
      <c r="K23" s="17"/>
      <c r="L23" s="17"/>
      <c r="M23" s="17"/>
    </row>
    <row r="24" spans="2:13" ht="21.9" customHeight="1" x14ac:dyDescent="0.3">
      <c r="B24" s="117"/>
      <c r="C24" s="117"/>
      <c r="D24" s="117"/>
      <c r="E24" s="117"/>
      <c r="F24" s="117"/>
      <c r="G24" s="117"/>
      <c r="H24" s="117"/>
      <c r="I24" s="117"/>
      <c r="J24" s="117"/>
      <c r="K24" s="17"/>
      <c r="L24" s="17"/>
      <c r="M24" s="17"/>
    </row>
    <row r="25" spans="2:13" ht="21.9" customHeight="1" x14ac:dyDescent="0.3">
      <c r="B25" s="117"/>
      <c r="C25" s="117"/>
      <c r="D25" s="117"/>
      <c r="E25" s="117"/>
      <c r="F25" s="117"/>
      <c r="G25" s="117"/>
      <c r="H25" s="117"/>
      <c r="I25" s="117"/>
      <c r="J25" s="117"/>
      <c r="K25" s="17"/>
      <c r="L25" s="17"/>
      <c r="M25" s="17"/>
    </row>
    <row r="26" spans="2:13" ht="21.9" customHeight="1" x14ac:dyDescent="0.3">
      <c r="B26" s="117"/>
      <c r="C26" s="117"/>
      <c r="D26" s="117"/>
      <c r="E26" s="117"/>
      <c r="F26" s="117"/>
      <c r="G26" s="117"/>
      <c r="H26" s="117"/>
      <c r="I26" s="117"/>
      <c r="J26" s="117"/>
      <c r="K26" s="17"/>
      <c r="L26" s="17"/>
      <c r="M26" s="17"/>
    </row>
    <row r="27" spans="2:13" ht="21.9" customHeight="1" x14ac:dyDescent="0.3">
      <c r="B27" s="117"/>
      <c r="C27" s="117"/>
      <c r="D27" s="117"/>
      <c r="E27" s="117"/>
      <c r="F27" s="117"/>
      <c r="G27" s="117"/>
      <c r="H27" s="117"/>
      <c r="I27" s="117"/>
      <c r="J27" s="117"/>
      <c r="K27" s="17"/>
      <c r="L27" s="17"/>
      <c r="M27" s="17"/>
    </row>
    <row r="28" spans="2:13" ht="21.9" customHeight="1" x14ac:dyDescent="0.3">
      <c r="B28" s="117"/>
      <c r="C28" s="117"/>
      <c r="D28" s="117"/>
      <c r="E28" s="117"/>
      <c r="F28" s="117"/>
      <c r="G28" s="117"/>
      <c r="H28" s="117"/>
      <c r="I28" s="117"/>
      <c r="J28" s="117"/>
      <c r="K28" s="17"/>
      <c r="L28" s="17"/>
      <c r="M28" s="17"/>
    </row>
    <row r="29" spans="2:13" ht="21.9" customHeight="1" x14ac:dyDescent="0.3">
      <c r="B29" s="117"/>
      <c r="C29" s="117"/>
      <c r="D29" s="117"/>
      <c r="E29" s="117"/>
      <c r="F29" s="117"/>
      <c r="G29" s="117"/>
      <c r="H29" s="117"/>
      <c r="I29" s="117"/>
      <c r="J29" s="117"/>
      <c r="K29" s="17"/>
      <c r="L29" s="17"/>
      <c r="M29" s="17"/>
    </row>
    <row r="30" spans="2:13" ht="21.9" customHeight="1" x14ac:dyDescent="0.3">
      <c r="B30" s="28"/>
      <c r="C30" s="253"/>
      <c r="D30" s="253"/>
      <c r="E30" s="253"/>
      <c r="F30" s="253"/>
      <c r="G30" s="253"/>
      <c r="H30" s="253"/>
      <c r="I30" s="28"/>
      <c r="J30" s="28"/>
      <c r="K30" s="16"/>
      <c r="L30" s="17"/>
      <c r="M30" s="17"/>
    </row>
    <row r="31" spans="2:13" ht="21.9" customHeight="1" x14ac:dyDescent="0.3">
      <c r="B31" s="28"/>
      <c r="C31" s="253"/>
      <c r="D31" s="253"/>
      <c r="E31" s="253"/>
      <c r="F31" s="253"/>
      <c r="G31" s="253"/>
      <c r="H31" s="253"/>
      <c r="I31" s="28"/>
      <c r="J31" s="28"/>
      <c r="K31" s="17"/>
      <c r="L31" s="17"/>
      <c r="M31" s="17"/>
    </row>
    <row r="32" spans="2:13" ht="21.9" customHeight="1" x14ac:dyDescent="0.3">
      <c r="B32" s="28" t="s">
        <v>152</v>
      </c>
      <c r="C32" s="28" t="str">
        <f>IF(ticker="","",ticker)</f>
        <v>AAPL</v>
      </c>
      <c r="D32" s="28" t="str">
        <f>IF(comp1="","",comp1)</f>
        <v/>
      </c>
      <c r="E32" s="28" t="str">
        <f>IF(comp2="","",comp2)</f>
        <v/>
      </c>
      <c r="F32" s="28" t="str">
        <f>IF(comp3="","",comp3)</f>
        <v/>
      </c>
      <c r="G32" s="28" t="str">
        <f>IF(comp4="","",comp4)</f>
        <v/>
      </c>
      <c r="H32" s="28" t="str">
        <f>IF(comp5="","",comp5)</f>
        <v/>
      </c>
      <c r="I32" s="28"/>
      <c r="J32" s="28"/>
    </row>
    <row r="33" spans="2:11" ht="23.85" customHeight="1" x14ac:dyDescent="0.3">
      <c r="B33" s="28"/>
      <c r="C33" s="28"/>
      <c r="D33" s="28"/>
      <c r="E33" s="28"/>
      <c r="F33" s="28"/>
      <c r="G33" s="28"/>
      <c r="H33" s="28"/>
      <c r="I33" s="28"/>
      <c r="J33" s="28"/>
    </row>
    <row r="34" spans="2:11" ht="15.75" customHeight="1" x14ac:dyDescent="0.3">
      <c r="C34" s="3"/>
      <c r="D34" s="3"/>
      <c r="E34" s="3"/>
      <c r="F34" s="3"/>
      <c r="G34" s="3"/>
      <c r="H34" s="3"/>
      <c r="I34" s="3"/>
      <c r="J34" s="3"/>
      <c r="K34" s="20"/>
    </row>
    <row r="35" spans="2:11" x14ac:dyDescent="0.3">
      <c r="C35" s="3"/>
      <c r="D35" s="3"/>
      <c r="E35" s="3"/>
      <c r="F35" s="3"/>
      <c r="G35" s="3"/>
      <c r="H35" s="3"/>
      <c r="I35" s="3"/>
      <c r="J35" s="3"/>
      <c r="K35" s="20"/>
    </row>
    <row r="36" spans="2:11" x14ac:dyDescent="0.3">
      <c r="C36" s="3"/>
      <c r="D36" s="3"/>
      <c r="E36" s="3"/>
      <c r="F36" s="3"/>
      <c r="G36" s="3"/>
      <c r="H36" s="3"/>
      <c r="I36" s="3"/>
      <c r="J36" s="3"/>
      <c r="K36" s="20"/>
    </row>
    <row r="37" spans="2:11" x14ac:dyDescent="0.3">
      <c r="C37" s="3"/>
      <c r="D37" s="3"/>
      <c r="E37" s="3"/>
      <c r="F37" s="3"/>
      <c r="G37" s="3"/>
      <c r="H37" s="3"/>
      <c r="I37" s="3"/>
      <c r="J37" s="3"/>
      <c r="K37" s="20"/>
    </row>
    <row r="38" spans="2:11" x14ac:dyDescent="0.3">
      <c r="C38" s="3"/>
      <c r="D38" s="3"/>
      <c r="E38" s="3"/>
      <c r="F38" s="3"/>
      <c r="G38" s="3"/>
      <c r="H38" s="3"/>
      <c r="I38" s="3"/>
      <c r="J38" s="3"/>
      <c r="K38" s="20"/>
    </row>
    <row r="39" spans="2:11" x14ac:dyDescent="0.3">
      <c r="C39" s="3"/>
      <c r="D39" s="3"/>
      <c r="E39" s="3"/>
      <c r="F39" s="3"/>
      <c r="G39" s="3"/>
      <c r="H39" s="3"/>
      <c r="I39" s="3"/>
      <c r="J39" s="3"/>
    </row>
    <row r="40" spans="2:11" x14ac:dyDescent="0.3">
      <c r="C40" s="3"/>
      <c r="D40" s="3"/>
      <c r="E40" s="3"/>
      <c r="F40" s="3"/>
      <c r="G40" s="3"/>
      <c r="H40" s="3"/>
      <c r="I40" s="3"/>
      <c r="J40" s="3"/>
      <c r="K40" s="19"/>
    </row>
    <row r="41" spans="2:11" x14ac:dyDescent="0.3">
      <c r="C41" s="3"/>
      <c r="D41" s="3"/>
      <c r="E41" s="3"/>
      <c r="F41" s="3"/>
      <c r="G41" s="3"/>
      <c r="H41" s="3"/>
      <c r="I41" s="3"/>
      <c r="J41" s="3"/>
    </row>
    <row r="42" spans="2:11" x14ac:dyDescent="0.3">
      <c r="C42" s="3"/>
      <c r="D42" s="3"/>
      <c r="E42" s="3"/>
      <c r="F42" s="3"/>
      <c r="G42" s="3"/>
      <c r="H42" s="3"/>
      <c r="I42" s="3"/>
      <c r="J42" s="3"/>
    </row>
    <row r="43" spans="2:11" x14ac:dyDescent="0.3">
      <c r="C43" s="3"/>
      <c r="D43" s="3"/>
      <c r="E43" s="3"/>
      <c r="F43" s="3"/>
      <c r="G43" s="3"/>
      <c r="H43" s="3"/>
      <c r="I43" s="3"/>
      <c r="J43" s="3"/>
    </row>
    <row r="44" spans="2:11" x14ac:dyDescent="0.3">
      <c r="C44" s="3"/>
      <c r="D44" s="3"/>
      <c r="E44" s="3"/>
      <c r="F44" s="3"/>
      <c r="G44" s="3"/>
      <c r="H44" s="3"/>
      <c r="I44" s="3"/>
      <c r="J44" s="3"/>
    </row>
    <row r="45" spans="2:11" x14ac:dyDescent="0.3">
      <c r="C45" s="3"/>
      <c r="D45" s="3"/>
      <c r="E45" s="3"/>
      <c r="F45" s="3"/>
      <c r="G45" s="3"/>
      <c r="H45" s="3"/>
      <c r="I45" s="3"/>
      <c r="J45" s="3"/>
    </row>
    <row r="46" spans="2:11" x14ac:dyDescent="0.3">
      <c r="C46" s="3"/>
      <c r="D46" s="3"/>
      <c r="E46" s="3"/>
      <c r="F46" s="3"/>
      <c r="G46" s="3"/>
      <c r="H46" s="3"/>
      <c r="I46" s="3"/>
      <c r="J46" s="3"/>
    </row>
  </sheetData>
  <conditionalFormatting sqref="K34:K36">
    <cfRule type="cellIs" dxfId="1" priority="1" operator="greaterThan">
      <formula>0</formula>
    </cfRule>
    <cfRule type="cellIs" dxfId="0" priority="2" operator="lessThan">
      <formula>0</formula>
    </cfRule>
  </conditionalFormatting>
  <pageMargins left="0.7" right="0.7" top="0.75" bottom="0.75" header="0.3" footer="0.3"/>
  <pageSetup scale="86" orientation="landscape" r:id="rId1"/>
  <headerFooter>
    <oddHeader>&amp;LApple Inc (AAPL)          $116.52&amp;RReport Date: 12/26/2016</oddHeader>
    <oddFooter>&amp;L&amp;G&amp;R&amp;P</oddFoot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Control Panel</vt:lpstr>
      <vt:lpstr>Profile</vt:lpstr>
      <vt:lpstr>Key Items</vt:lpstr>
      <vt:lpstr>Key Estimates</vt:lpstr>
      <vt:lpstr>Income Metrics</vt:lpstr>
      <vt:lpstr>ROIC Metrics</vt:lpstr>
      <vt:lpstr>NWC Metrics</vt:lpstr>
      <vt:lpstr>Debt Metrics</vt:lpstr>
      <vt:lpstr>DCF</vt:lpstr>
      <vt:lpstr>Comps Overview</vt:lpstr>
      <vt:lpstr>Income Comps</vt:lpstr>
      <vt:lpstr>ROIC Comps</vt:lpstr>
      <vt:lpstr>NWC Comps</vt:lpstr>
      <vt:lpstr>Debt Comps</vt:lpstr>
      <vt:lpstr>comp1</vt:lpstr>
      <vt:lpstr>comp2</vt:lpstr>
      <vt:lpstr>comp3</vt:lpstr>
      <vt:lpstr>comp4</vt:lpstr>
      <vt:lpstr>comp5</vt:lpstr>
      <vt:lpstr>last_price</vt:lpstr>
      <vt:lpstr>name</vt:lpstr>
      <vt:lpstr>'Comps Overview'!Print_Area</vt:lpstr>
      <vt:lpstr>'Control Panel'!Print_Area</vt:lpstr>
      <vt:lpstr>DCF!Print_Area</vt:lpstr>
      <vt:lpstr>'Debt Comps'!Print_Area</vt:lpstr>
      <vt:lpstr>'Debt Metrics'!Print_Area</vt:lpstr>
      <vt:lpstr>'Income Comps'!Print_Area</vt:lpstr>
      <vt:lpstr>'Income Metrics'!Print_Area</vt:lpstr>
      <vt:lpstr>'Key Estimates'!Print_Area</vt:lpstr>
      <vt:lpstr>'Key Items'!Print_Area</vt:lpstr>
      <vt:lpstr>'NWC Comps'!Print_Area</vt:lpstr>
      <vt:lpstr>'NWC Metrics'!Print_Area</vt:lpstr>
      <vt:lpstr>Profile!Print_Area</vt:lpstr>
      <vt:lpstr>'ROIC Comps'!Print_Area</vt:lpstr>
      <vt:lpstr>'ROIC Metrics'!Print_Area</vt:lpstr>
      <vt:lpstr>report_date</vt:lpstr>
      <vt:lpstr>ticker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Intrinio</dc:creator>
  <cp:lastModifiedBy>Gaglani, Dinesh</cp:lastModifiedBy>
  <cp:lastPrinted>2016-08-27T09:05:53Z</cp:lastPrinted>
  <dcterms:created xsi:type="dcterms:W3CDTF">2016-02-24T21:39:54Z</dcterms:created>
  <dcterms:modified xsi:type="dcterms:W3CDTF">2019-05-08T04:11:12Z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4</vt:i4>
  </property>
</Properties>
</file>